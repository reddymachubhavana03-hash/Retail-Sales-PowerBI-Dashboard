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bhava\OneDrive\Documents\Desktop\projec1\"/>
    </mc:Choice>
  </mc:AlternateContent>
  <xr:revisionPtr revIDLastSave="0" documentId="13_ncr:1_{CE8DC535-4C25-4341-B2E5-EFC8F5EC4246}" xr6:coauthVersionLast="47" xr6:coauthVersionMax="47" xr10:uidLastSave="{00000000-0000-0000-0000-000000000000}"/>
  <bookViews>
    <workbookView xWindow="-108" yWindow="-108" windowWidth="23256" windowHeight="12456" firstSheet="3" activeTab="7" xr2:uid="{8602676E-CFA2-48F8-9ED6-2C8CC134C4FB}"/>
  </bookViews>
  <sheets>
    <sheet name="total revenue" sheetId="3" r:id="rId1"/>
    <sheet name="geographical revenues" sheetId="4" r:id="rId2"/>
    <sheet name="products revenues" sheetId="6" r:id="rId3"/>
    <sheet name="Customer Value Analysis " sheetId="7" r:id="rId4"/>
    <sheet name="Dashboard" sheetId="8" r:id="rId5"/>
    <sheet name="Month to Month _Revenue" sheetId="9" r:id="rId6"/>
    <sheet name="loyal customers " sheetId="10" r:id="rId7"/>
    <sheet name="Dataset" sheetId="1" r:id="rId8"/>
  </sheet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3" i="1" l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</calcChain>
</file>

<file path=xl/sharedStrings.xml><?xml version="1.0" encoding="utf-8"?>
<sst xmlns="http://schemas.openxmlformats.org/spreadsheetml/2006/main" count="307" uniqueCount="107">
  <si>
    <t>Order_ID</t>
  </si>
  <si>
    <t>Order_Date</t>
  </si>
  <si>
    <t>Customer_Name</t>
  </si>
  <si>
    <t>City</t>
  </si>
  <si>
    <t>Product_Category</t>
  </si>
  <si>
    <t>Product_Name</t>
  </si>
  <si>
    <t>Quantity</t>
  </si>
  <si>
    <t>Unit_Price</t>
  </si>
  <si>
    <t>Payment_Method</t>
  </si>
  <si>
    <t>sita</t>
  </si>
  <si>
    <t>ram</t>
  </si>
  <si>
    <t>rahul</t>
  </si>
  <si>
    <t>priyanka</t>
  </si>
  <si>
    <t>geethika</t>
  </si>
  <si>
    <t>karthika</t>
  </si>
  <si>
    <t>karthik</t>
  </si>
  <si>
    <t>meera</t>
  </si>
  <si>
    <t>nina</t>
  </si>
  <si>
    <t>pavani</t>
  </si>
  <si>
    <t>madhavan</t>
  </si>
  <si>
    <t>rachana</t>
  </si>
  <si>
    <t>ruchitha</t>
  </si>
  <si>
    <t xml:space="preserve">harika </t>
  </si>
  <si>
    <t xml:space="preserve">priya </t>
  </si>
  <si>
    <t>ameena</t>
  </si>
  <si>
    <t>lakshmi</t>
  </si>
  <si>
    <t>kalam</t>
  </si>
  <si>
    <t xml:space="preserve">anu </t>
  </si>
  <si>
    <t>Electronics</t>
  </si>
  <si>
    <t>Grocery</t>
  </si>
  <si>
    <t>Clothing</t>
  </si>
  <si>
    <t>Laptop</t>
  </si>
  <si>
    <t>mobile</t>
  </si>
  <si>
    <t>rice</t>
  </si>
  <si>
    <t>t shirt</t>
  </si>
  <si>
    <t>pants</t>
  </si>
  <si>
    <t>milk</t>
  </si>
  <si>
    <t>headphones</t>
  </si>
  <si>
    <t>upi</t>
  </si>
  <si>
    <t>cash</t>
  </si>
  <si>
    <t>sugar</t>
  </si>
  <si>
    <t xml:space="preserve">Hyderabad </t>
  </si>
  <si>
    <t>Mumbai</t>
  </si>
  <si>
    <t>Delhi</t>
  </si>
  <si>
    <t>Bangalore</t>
  </si>
  <si>
    <t>Kerala</t>
  </si>
  <si>
    <t>Pondicherry</t>
  </si>
  <si>
    <t>total_Revenue</t>
  </si>
  <si>
    <t>Row Labels</t>
  </si>
  <si>
    <t>Grand Total</t>
  </si>
  <si>
    <t>Sum of total_Revenue</t>
  </si>
  <si>
    <t>Total Revenue: ₹460,910</t>
  </si>
  <si>
    <t>Retail Sales Analytics Dashboard</t>
  </si>
  <si>
    <t>Month</t>
  </si>
  <si>
    <t>Aarav</t>
  </si>
  <si>
    <t>Vivaan</t>
  </si>
  <si>
    <t>Aditya</t>
  </si>
  <si>
    <t>Arjun</t>
  </si>
  <si>
    <t>Rohan</t>
  </si>
  <si>
    <t>Rahul</t>
  </si>
  <si>
    <t>Karthik</t>
  </si>
  <si>
    <t>Madhavan</t>
  </si>
  <si>
    <t>Siddharth</t>
  </si>
  <si>
    <t>Vikram</t>
  </si>
  <si>
    <t>Ananya</t>
  </si>
  <si>
    <t>Priya</t>
  </si>
  <si>
    <t>Sneha</t>
  </si>
  <si>
    <t>Pooja</t>
  </si>
  <si>
    <t>Riya</t>
  </si>
  <si>
    <t>Kavya</t>
  </si>
  <si>
    <t>Divya</t>
  </si>
  <si>
    <t>Meera</t>
  </si>
  <si>
    <t>Sita</t>
  </si>
  <si>
    <t>Lakshmi</t>
  </si>
  <si>
    <t>Ruchitha</t>
  </si>
  <si>
    <t>Hyderabad</t>
  </si>
  <si>
    <t>Chennai</t>
  </si>
  <si>
    <t>Kolkata</t>
  </si>
  <si>
    <t>Pune</t>
  </si>
  <si>
    <t>Ahmedabad</t>
  </si>
  <si>
    <t>Jaipur</t>
  </si>
  <si>
    <t>Lucknow</t>
  </si>
  <si>
    <t>Kochi</t>
  </si>
  <si>
    <t>Indore</t>
  </si>
  <si>
    <t>Bhopal</t>
  </si>
  <si>
    <t>Chandigarh</t>
  </si>
  <si>
    <t>Nagpur</t>
  </si>
  <si>
    <t>Visakhapatnam</t>
  </si>
  <si>
    <t>Coimbatore</t>
  </si>
  <si>
    <t>Patna</t>
  </si>
  <si>
    <t>Surat</t>
  </si>
  <si>
    <t>Vijayawada</t>
  </si>
  <si>
    <t>Mysore</t>
  </si>
  <si>
    <t>Mobile</t>
  </si>
  <si>
    <t>Tshirt</t>
  </si>
  <si>
    <t>Rice</t>
  </si>
  <si>
    <t>Headphones</t>
  </si>
  <si>
    <t>Pants</t>
  </si>
  <si>
    <t>Sugar</t>
  </si>
  <si>
    <t>Milk</t>
  </si>
  <si>
    <t>UPI</t>
  </si>
  <si>
    <t>Credit Card</t>
  </si>
  <si>
    <t>Cash</t>
  </si>
  <si>
    <t>Debit Card</t>
  </si>
  <si>
    <t>Jan</t>
  </si>
  <si>
    <t>Feb</t>
  </si>
  <si>
    <t>Count of 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</si>
</sst>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/>
    <xf numFmtId="0" fontId="3" fillId="0" borderId="0" xfId="0" applyFont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0" borderId="0" xfId="0" applyFill="1" applyAlignment="1">
      <alignment horizontal="center"/>
    </xf>
  </cellXfs>
  <cellStyles count="1">
    <cellStyle name="Normal" xfId="0" builtinId="0"/>
  </cellStyles>
  <dxfs count="8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1.xlsx]total revenue!PivotTable2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revenue'!$A$4:$A$7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</c:strCache>
            </c:strRef>
          </c:cat>
          <c:val>
            <c:numRef>
              <c:f>'total revenue'!$B$4:$B$7</c:f>
              <c:numCache>
                <c:formatCode>General</c:formatCode>
                <c:ptCount val="3"/>
                <c:pt idx="0">
                  <c:v>9695</c:v>
                </c:pt>
                <c:pt idx="1">
                  <c:v>437500</c:v>
                </c:pt>
                <c:pt idx="2">
                  <c:v>13715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49-411E-B4AA-B233118FD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1710527"/>
        <c:axId val="721707647"/>
      </c:barChart>
      <c:catAx>
        <c:axId val="72171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707647"/>
        <c:crosses val="autoZero"/>
        <c:auto val="1"/>
        <c:lblAlgn val="ctr"/>
        <c:lblOffset val="100"/>
        <c:noMultiLvlLbl val="0"/>
      </c:catAx>
      <c:valAx>
        <c:axId val="72170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71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1.xlsx]geographical revenues!PivotTable1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'geographical revenues'!$B$3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'geographical revenues'!$A$4:$A$10</c:f>
              <c:strCache>
                <c:ptCount val="6"/>
                <c:pt idx="0">
                  <c:v>Delhi</c:v>
                </c:pt>
                <c:pt idx="1">
                  <c:v>Hyderabad </c:v>
                </c:pt>
                <c:pt idx="2">
                  <c:v>Mumbai</c:v>
                </c:pt>
                <c:pt idx="3">
                  <c:v>Bangalore</c:v>
                </c:pt>
                <c:pt idx="4">
                  <c:v>Pondicherry</c:v>
                </c:pt>
                <c:pt idx="5">
                  <c:v>Kerala</c:v>
                </c:pt>
              </c:strCache>
            </c:strRef>
          </c:cat>
          <c:val>
            <c:numRef>
              <c:f>'geographical revenues'!$B$4:$B$10</c:f>
              <c:numCache>
                <c:formatCode>General</c:formatCode>
                <c:ptCount val="6"/>
                <c:pt idx="0">
                  <c:v>251500</c:v>
                </c:pt>
                <c:pt idx="1">
                  <c:v>127100</c:v>
                </c:pt>
                <c:pt idx="2">
                  <c:v>66060</c:v>
                </c:pt>
                <c:pt idx="3">
                  <c:v>10400</c:v>
                </c:pt>
                <c:pt idx="4">
                  <c:v>4500</c:v>
                </c:pt>
                <c:pt idx="5">
                  <c:v>1350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63-469A-B87E-AEBE94253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4075071"/>
        <c:axId val="724077471"/>
      </c:barChart>
      <c:catAx>
        <c:axId val="724075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077471"/>
        <c:crosses val="autoZero"/>
        <c:auto val="1"/>
        <c:lblAlgn val="ctr"/>
        <c:lblOffset val="100"/>
        <c:noMultiLvlLbl val="0"/>
      </c:catAx>
      <c:valAx>
        <c:axId val="724077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07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1.xlsx]products revenues!PivotTable2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'products revenues'!$B$3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'products revenues'!$A$4:$A$12</c:f>
              <c:strCache>
                <c:ptCount val="8"/>
                <c:pt idx="0">
                  <c:v>Laptop</c:v>
                </c:pt>
                <c:pt idx="1">
                  <c:v>mobile</c:v>
                </c:pt>
                <c:pt idx="2">
                  <c:v>t shirt</c:v>
                </c:pt>
                <c:pt idx="3">
                  <c:v>rice</c:v>
                </c:pt>
                <c:pt idx="4">
                  <c:v>headphones</c:v>
                </c:pt>
                <c:pt idx="5">
                  <c:v>sugar</c:v>
                </c:pt>
                <c:pt idx="6">
                  <c:v>pants</c:v>
                </c:pt>
                <c:pt idx="7">
                  <c:v>milk</c:v>
                </c:pt>
              </c:strCache>
            </c:strRef>
          </c:cat>
          <c:val>
            <c:numRef>
              <c:f>'products revenues'!$B$4:$B$12</c:f>
              <c:numCache>
                <c:formatCode>General</c:formatCode>
                <c:ptCount val="8"/>
                <c:pt idx="0">
                  <c:v>370000</c:v>
                </c:pt>
                <c:pt idx="1">
                  <c:v>60000</c:v>
                </c:pt>
                <c:pt idx="2">
                  <c:v>8195</c:v>
                </c:pt>
                <c:pt idx="3">
                  <c:v>7900</c:v>
                </c:pt>
                <c:pt idx="4">
                  <c:v>7500</c:v>
                </c:pt>
                <c:pt idx="5">
                  <c:v>5345</c:v>
                </c:pt>
                <c:pt idx="6">
                  <c:v>1500</c:v>
                </c:pt>
                <c:pt idx="7">
                  <c:v>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3C-4E18-AAA2-2C553AF8E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4076991"/>
        <c:axId val="811553871"/>
      </c:barChart>
      <c:catAx>
        <c:axId val="724076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553871"/>
        <c:crosses val="autoZero"/>
        <c:auto val="1"/>
        <c:lblAlgn val="ctr"/>
        <c:lblOffset val="100"/>
        <c:noMultiLvlLbl val="0"/>
      </c:catAx>
      <c:valAx>
        <c:axId val="811553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076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1.xlsx]Customer Value Analysis 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Value Analysis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Value Analysis '!$A$4:$A$23</c:f>
              <c:strCache>
                <c:ptCount val="19"/>
                <c:pt idx="0">
                  <c:v>madhavan</c:v>
                </c:pt>
                <c:pt idx="1">
                  <c:v>rahul</c:v>
                </c:pt>
                <c:pt idx="2">
                  <c:v>priyanka</c:v>
                </c:pt>
                <c:pt idx="3">
                  <c:v>sita</c:v>
                </c:pt>
                <c:pt idx="4">
                  <c:v>ruchitha</c:v>
                </c:pt>
                <c:pt idx="5">
                  <c:v>lakshmi</c:v>
                </c:pt>
                <c:pt idx="6">
                  <c:v>ram</c:v>
                </c:pt>
                <c:pt idx="7">
                  <c:v>pavani</c:v>
                </c:pt>
                <c:pt idx="8">
                  <c:v>rachana</c:v>
                </c:pt>
                <c:pt idx="9">
                  <c:v>harika </c:v>
                </c:pt>
                <c:pt idx="10">
                  <c:v>priya </c:v>
                </c:pt>
                <c:pt idx="11">
                  <c:v>anu </c:v>
                </c:pt>
                <c:pt idx="12">
                  <c:v>geethika</c:v>
                </c:pt>
                <c:pt idx="13">
                  <c:v>karthika</c:v>
                </c:pt>
                <c:pt idx="14">
                  <c:v>ameena</c:v>
                </c:pt>
                <c:pt idx="15">
                  <c:v>meera</c:v>
                </c:pt>
                <c:pt idx="16">
                  <c:v>karthik</c:v>
                </c:pt>
                <c:pt idx="17">
                  <c:v>nina</c:v>
                </c:pt>
                <c:pt idx="18">
                  <c:v>kalam</c:v>
                </c:pt>
              </c:strCache>
            </c:strRef>
          </c:cat>
          <c:val>
            <c:numRef>
              <c:f>'Customer Value Analysis '!$B$4:$B$23</c:f>
              <c:numCache>
                <c:formatCode>General</c:formatCode>
                <c:ptCount val="19"/>
                <c:pt idx="0">
                  <c:v>250000</c:v>
                </c:pt>
                <c:pt idx="1">
                  <c:v>80000</c:v>
                </c:pt>
                <c:pt idx="2">
                  <c:v>60000</c:v>
                </c:pt>
                <c:pt idx="3">
                  <c:v>40000</c:v>
                </c:pt>
                <c:pt idx="4">
                  <c:v>5295</c:v>
                </c:pt>
                <c:pt idx="5">
                  <c:v>4500</c:v>
                </c:pt>
                <c:pt idx="6">
                  <c:v>3000</c:v>
                </c:pt>
                <c:pt idx="7">
                  <c:v>3000</c:v>
                </c:pt>
                <c:pt idx="8">
                  <c:v>2800</c:v>
                </c:pt>
                <c:pt idx="9">
                  <c:v>2345</c:v>
                </c:pt>
                <c:pt idx="10">
                  <c:v>2100</c:v>
                </c:pt>
                <c:pt idx="11">
                  <c:v>2000</c:v>
                </c:pt>
                <c:pt idx="12">
                  <c:v>1500</c:v>
                </c:pt>
                <c:pt idx="13">
                  <c:v>1400</c:v>
                </c:pt>
                <c:pt idx="14">
                  <c:v>1000</c:v>
                </c:pt>
                <c:pt idx="15">
                  <c:v>1000</c:v>
                </c:pt>
                <c:pt idx="16">
                  <c:v>500</c:v>
                </c:pt>
                <c:pt idx="17">
                  <c:v>260</c:v>
                </c:pt>
                <c:pt idx="18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69-483E-9A7F-7484B5368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8767471"/>
        <c:axId val="718769871"/>
      </c:barChart>
      <c:catAx>
        <c:axId val="718767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769871"/>
        <c:crosses val="autoZero"/>
        <c:auto val="1"/>
        <c:lblAlgn val="ctr"/>
        <c:lblOffset val="100"/>
        <c:noMultiLvlLbl val="0"/>
      </c:catAx>
      <c:valAx>
        <c:axId val="718769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76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1.xlsx]total revenue!PivotTable2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Revenue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64307833199245"/>
          <c:y val="0.37528496068975548"/>
          <c:w val="0.73578937007874012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'total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revenue'!$A$4:$A$7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</c:strCache>
            </c:strRef>
          </c:cat>
          <c:val>
            <c:numRef>
              <c:f>'total revenue'!$B$4:$B$7</c:f>
              <c:numCache>
                <c:formatCode>General</c:formatCode>
                <c:ptCount val="3"/>
                <c:pt idx="0">
                  <c:v>9695</c:v>
                </c:pt>
                <c:pt idx="1">
                  <c:v>437500</c:v>
                </c:pt>
                <c:pt idx="2">
                  <c:v>13715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8F-4B7B-AB70-33B5E5FB46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1710527"/>
        <c:axId val="721707647"/>
      </c:barChart>
      <c:catAx>
        <c:axId val="72171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707647"/>
        <c:crosses val="autoZero"/>
        <c:auto val="1"/>
        <c:lblAlgn val="ctr"/>
        <c:lblOffset val="100"/>
        <c:noMultiLvlLbl val="0"/>
      </c:catAx>
      <c:valAx>
        <c:axId val="721707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71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1.xlsx]geographical revenues!PivotTable1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Revenue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'geographical revenues'!$B$3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'geographical revenues'!$A$4:$A$10</c:f>
              <c:strCache>
                <c:ptCount val="6"/>
                <c:pt idx="0">
                  <c:v>Delhi</c:v>
                </c:pt>
                <c:pt idx="1">
                  <c:v>Hyderabad </c:v>
                </c:pt>
                <c:pt idx="2">
                  <c:v>Mumbai</c:v>
                </c:pt>
                <c:pt idx="3">
                  <c:v>Bangalore</c:v>
                </c:pt>
                <c:pt idx="4">
                  <c:v>Pondicherry</c:v>
                </c:pt>
                <c:pt idx="5">
                  <c:v>Kerala</c:v>
                </c:pt>
              </c:strCache>
            </c:strRef>
          </c:cat>
          <c:val>
            <c:numRef>
              <c:f>'geographical revenues'!$B$4:$B$10</c:f>
              <c:numCache>
                <c:formatCode>General</c:formatCode>
                <c:ptCount val="6"/>
                <c:pt idx="0">
                  <c:v>251500</c:v>
                </c:pt>
                <c:pt idx="1">
                  <c:v>127100</c:v>
                </c:pt>
                <c:pt idx="2">
                  <c:v>66060</c:v>
                </c:pt>
                <c:pt idx="3">
                  <c:v>10400</c:v>
                </c:pt>
                <c:pt idx="4">
                  <c:v>4500</c:v>
                </c:pt>
                <c:pt idx="5">
                  <c:v>1350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21-4936-9EB7-0FDF783646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24075071"/>
        <c:axId val="724077471"/>
      </c:barChart>
      <c:catAx>
        <c:axId val="724075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077471"/>
        <c:crosses val="autoZero"/>
        <c:auto val="1"/>
        <c:lblAlgn val="ctr"/>
        <c:lblOffset val="100"/>
        <c:noMultiLvlLbl val="0"/>
      </c:catAx>
      <c:valAx>
        <c:axId val="72407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07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1.xlsx]products revenues!PivotTable2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Top Products by Revenue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'products revenues'!$B$3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'products revenues'!$A$4:$A$12</c:f>
              <c:strCache>
                <c:ptCount val="8"/>
                <c:pt idx="0">
                  <c:v>Laptop</c:v>
                </c:pt>
                <c:pt idx="1">
                  <c:v>mobile</c:v>
                </c:pt>
                <c:pt idx="2">
                  <c:v>t shirt</c:v>
                </c:pt>
                <c:pt idx="3">
                  <c:v>rice</c:v>
                </c:pt>
                <c:pt idx="4">
                  <c:v>headphones</c:v>
                </c:pt>
                <c:pt idx="5">
                  <c:v>sugar</c:v>
                </c:pt>
                <c:pt idx="6">
                  <c:v>pants</c:v>
                </c:pt>
                <c:pt idx="7">
                  <c:v>milk</c:v>
                </c:pt>
              </c:strCache>
            </c:strRef>
          </c:cat>
          <c:val>
            <c:numRef>
              <c:f>'products revenues'!$B$4:$B$12</c:f>
              <c:numCache>
                <c:formatCode>General</c:formatCode>
                <c:ptCount val="8"/>
                <c:pt idx="0">
                  <c:v>370000</c:v>
                </c:pt>
                <c:pt idx="1">
                  <c:v>60000</c:v>
                </c:pt>
                <c:pt idx="2">
                  <c:v>8195</c:v>
                </c:pt>
                <c:pt idx="3">
                  <c:v>7900</c:v>
                </c:pt>
                <c:pt idx="4">
                  <c:v>7500</c:v>
                </c:pt>
                <c:pt idx="5">
                  <c:v>5345</c:v>
                </c:pt>
                <c:pt idx="6">
                  <c:v>1500</c:v>
                </c:pt>
                <c:pt idx="7">
                  <c:v>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E0-495F-B2B9-20876E3BF7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24076991"/>
        <c:axId val="811553871"/>
      </c:barChart>
      <c:catAx>
        <c:axId val="724076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553871"/>
        <c:crosses val="autoZero"/>
        <c:auto val="1"/>
        <c:lblAlgn val="ctr"/>
        <c:lblOffset val="100"/>
        <c:noMultiLvlLbl val="0"/>
      </c:catAx>
      <c:valAx>
        <c:axId val="81155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076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1.xlsx]Customer Value Analysis 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Top Customers by Revenue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Value Analysis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Value Analysis '!$A$4:$A$23</c:f>
              <c:strCache>
                <c:ptCount val="19"/>
                <c:pt idx="0">
                  <c:v>madhavan</c:v>
                </c:pt>
                <c:pt idx="1">
                  <c:v>rahul</c:v>
                </c:pt>
                <c:pt idx="2">
                  <c:v>priyanka</c:v>
                </c:pt>
                <c:pt idx="3">
                  <c:v>sita</c:v>
                </c:pt>
                <c:pt idx="4">
                  <c:v>ruchitha</c:v>
                </c:pt>
                <c:pt idx="5">
                  <c:v>lakshmi</c:v>
                </c:pt>
                <c:pt idx="6">
                  <c:v>ram</c:v>
                </c:pt>
                <c:pt idx="7">
                  <c:v>pavani</c:v>
                </c:pt>
                <c:pt idx="8">
                  <c:v>rachana</c:v>
                </c:pt>
                <c:pt idx="9">
                  <c:v>harika </c:v>
                </c:pt>
                <c:pt idx="10">
                  <c:v>priya </c:v>
                </c:pt>
                <c:pt idx="11">
                  <c:v>anu </c:v>
                </c:pt>
                <c:pt idx="12">
                  <c:v>geethika</c:v>
                </c:pt>
                <c:pt idx="13">
                  <c:v>karthika</c:v>
                </c:pt>
                <c:pt idx="14">
                  <c:v>ameena</c:v>
                </c:pt>
                <c:pt idx="15">
                  <c:v>meera</c:v>
                </c:pt>
                <c:pt idx="16">
                  <c:v>karthik</c:v>
                </c:pt>
                <c:pt idx="17">
                  <c:v>nina</c:v>
                </c:pt>
                <c:pt idx="18">
                  <c:v>kalam</c:v>
                </c:pt>
              </c:strCache>
            </c:strRef>
          </c:cat>
          <c:val>
            <c:numRef>
              <c:f>'Customer Value Analysis '!$B$4:$B$23</c:f>
              <c:numCache>
                <c:formatCode>General</c:formatCode>
                <c:ptCount val="19"/>
                <c:pt idx="0">
                  <c:v>250000</c:v>
                </c:pt>
                <c:pt idx="1">
                  <c:v>80000</c:v>
                </c:pt>
                <c:pt idx="2">
                  <c:v>60000</c:v>
                </c:pt>
                <c:pt idx="3">
                  <c:v>40000</c:v>
                </c:pt>
                <c:pt idx="4">
                  <c:v>5295</c:v>
                </c:pt>
                <c:pt idx="5">
                  <c:v>4500</c:v>
                </c:pt>
                <c:pt idx="6">
                  <c:v>3000</c:v>
                </c:pt>
                <c:pt idx="7">
                  <c:v>3000</c:v>
                </c:pt>
                <c:pt idx="8">
                  <c:v>2800</c:v>
                </c:pt>
                <c:pt idx="9">
                  <c:v>2345</c:v>
                </c:pt>
                <c:pt idx="10">
                  <c:v>2100</c:v>
                </c:pt>
                <c:pt idx="11">
                  <c:v>2000</c:v>
                </c:pt>
                <c:pt idx="12">
                  <c:v>1500</c:v>
                </c:pt>
                <c:pt idx="13">
                  <c:v>1400</c:v>
                </c:pt>
                <c:pt idx="14">
                  <c:v>1000</c:v>
                </c:pt>
                <c:pt idx="15">
                  <c:v>1000</c:v>
                </c:pt>
                <c:pt idx="16">
                  <c:v>500</c:v>
                </c:pt>
                <c:pt idx="17">
                  <c:v>260</c:v>
                </c:pt>
                <c:pt idx="18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20-4D45-BAD1-CF730C28F0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18767471"/>
        <c:axId val="718769871"/>
      </c:barChart>
      <c:catAx>
        <c:axId val="718767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769871"/>
        <c:crosses val="autoZero"/>
        <c:auto val="1"/>
        <c:lblAlgn val="ctr"/>
        <c:lblOffset val="100"/>
        <c:noMultiLvlLbl val="0"/>
      </c:catAx>
      <c:valAx>
        <c:axId val="718769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76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1.xlsx]Month to Month _Revenue!PivotTable1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Trend Line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 to Month _Revenue'!$B$3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 to Month _Revenue'!$A$4:$A$6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'Month to Month _Revenue'!$B$4:$B$6</c:f>
              <c:numCache>
                <c:formatCode>General</c:formatCode>
                <c:ptCount val="2"/>
                <c:pt idx="0">
                  <c:v>745350</c:v>
                </c:pt>
                <c:pt idx="1">
                  <c:v>162900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EE-41FE-BE16-00E3551833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76490448"/>
        <c:axId val="1076485648"/>
      </c:lineChart>
      <c:catAx>
        <c:axId val="107649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485648"/>
        <c:crosses val="autoZero"/>
        <c:auto val="1"/>
        <c:lblAlgn val="ctr"/>
        <c:lblOffset val="100"/>
        <c:noMultiLvlLbl val="0"/>
      </c:catAx>
      <c:valAx>
        <c:axId val="1076485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49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6.xml"/><Relationship Id="rId18" Type="http://schemas.openxmlformats.org/officeDocument/2006/relationships/image" Target="../media/image9.png"/><Relationship Id="rId7" Type="http://schemas.openxmlformats.org/officeDocument/2006/relationships/customXml" Target="../ink/ink3.xml"/><Relationship Id="rId12" Type="http://schemas.openxmlformats.org/officeDocument/2006/relationships/image" Target="../media/image6.png"/><Relationship Id="rId17" Type="http://schemas.openxmlformats.org/officeDocument/2006/relationships/customXml" Target="../ink/ink8.xml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5.xml"/><Relationship Id="rId5" Type="http://schemas.openxmlformats.org/officeDocument/2006/relationships/customXml" Target="../ink/ink2.xml"/><Relationship Id="rId15" Type="http://schemas.openxmlformats.org/officeDocument/2006/relationships/customXml" Target="../ink/ink7.xml"/><Relationship Id="rId10" Type="http://schemas.openxmlformats.org/officeDocument/2006/relationships/image" Target="../media/image5.png"/><Relationship Id="rId19" Type="http://schemas.openxmlformats.org/officeDocument/2006/relationships/customXml" Target="../ink/ink9.xml"/><Relationship Id="rId4" Type="http://schemas.openxmlformats.org/officeDocument/2006/relationships/image" Target="../media/image2.png"/><Relationship Id="rId9" Type="http://schemas.openxmlformats.org/officeDocument/2006/relationships/customXml" Target="../ink/ink4.xml"/><Relationship Id="rId1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487680</xdr:colOff>
      <xdr:row>11</xdr:row>
      <xdr:rowOff>71120</xdr:rowOff>
    </xdr:from>
    <xdr:to>
      <xdr:col>8</xdr:col>
      <xdr:colOff>40640</xdr:colOff>
      <xdr:row>26</xdr:row>
      <xdr:rowOff>71120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9F9A5E-CD3D-E3D8-71DA-66CFBB5C2C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244928</xdr:colOff>
      <xdr:row>4</xdr:row>
      <xdr:rowOff>121783</xdr:rowOff>
    </xdr:from>
    <xdr:to>
      <xdr:col>7</xdr:col>
      <xdr:colOff>394607</xdr:colOff>
      <xdr:row>19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799CBC-D11A-2560-6BD7-0D29564A27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423672</xdr:colOff>
      <xdr:row>3</xdr:row>
      <xdr:rowOff>173736</xdr:rowOff>
    </xdr:from>
    <xdr:to>
      <xdr:col>6</xdr:col>
      <xdr:colOff>332232</xdr:colOff>
      <xdr:row>18</xdr:row>
      <xdr:rowOff>173736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E5615B-C494-0C03-DB35-B897361CF5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6</xdr:row>
      <xdr:rowOff>34290</xdr:rowOff>
    </xdr:from>
    <xdr:to>
      <xdr:col>9</xdr:col>
      <xdr:colOff>381000</xdr:colOff>
      <xdr:row>21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3F190B-B35E-18D1-2707-9F3540CFC2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72570</xdr:rowOff>
    </xdr:from>
    <xdr:to>
      <xdr:col>7</xdr:col>
      <xdr:colOff>304800</xdr:colOff>
      <xdr:row>19</xdr:row>
      <xdr:rowOff>72569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2004F4-2FA8-4E6E-A398-66101C9274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140668</xdr:colOff>
      <xdr:row>4</xdr:row>
      <xdr:rowOff>84667</xdr:rowOff>
    </xdr:from>
    <xdr:to>
      <xdr:col>15</xdr:col>
      <xdr:colOff>445467</xdr:colOff>
      <xdr:row>19</xdr:row>
      <xdr:rowOff>84666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D8C540-376A-4B3D-9A28-66135115E9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</xdr:colOff>
      <xdr:row>22</xdr:row>
      <xdr:rowOff>24190</xdr:rowOff>
    </xdr:from>
    <xdr:to>
      <xdr:col>7</xdr:col>
      <xdr:colOff>312420</xdr:colOff>
      <xdr:row>37</xdr:row>
      <xdr:rowOff>24190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8799B0-2B35-4CD7-9EB9-3929D6289E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134741</xdr:colOff>
      <xdr:row>21</xdr:row>
      <xdr:rowOff>167640</xdr:rowOff>
    </xdr:from>
    <xdr:to>
      <xdr:col>15</xdr:col>
      <xdr:colOff>434702</xdr:colOff>
      <xdr:row>36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5A441B5-A832-42DE-AE73-D35C03A433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8</xdr:row>
      <xdr:rowOff>171450</xdr:rowOff>
    </xdr:from>
    <xdr:to>
      <xdr:col>7</xdr:col>
      <xdr:colOff>190500</xdr:colOff>
      <xdr:row>23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315E0E-D77C-0875-6086-E835CB7AC6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616267</xdr:colOff>
      <xdr:row>30</xdr:row>
      <xdr:rowOff>100376</xdr:rowOff>
    </xdr:from>
    <xdr:to>
      <xdr:col>9</xdr:col>
      <xdr:colOff>616627</xdr:colOff>
      <xdr:row>30</xdr:row>
      <xdr:rowOff>100736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8BCB8C8F-6B50-B78D-3981-A7B4CEB2EF2A}"/>
                </a:ext>
              </a:extLst>
            </xdr14:cNvPr>
            <xdr14:cNvContentPartPr/>
          </xdr14:nvContentPartPr>
          <xdr14:nvPr macro=""/>
          <xdr14:xfrm>
            <a:off x="8415561" y="547920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8BCB8C8F-6B50-B78D-3981-A7B4CEB2EF2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406561" y="542556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739387</xdr:colOff>
      <xdr:row>26</xdr:row>
      <xdr:rowOff>22673</xdr:rowOff>
    </xdr:from>
    <xdr:to>
      <xdr:col>9</xdr:col>
      <xdr:colOff>739747</xdr:colOff>
      <xdr:row>26</xdr:row>
      <xdr:rowOff>23033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D97A24D5-0DBF-6D3B-EFAC-EAB2D6B718B7}"/>
                </a:ext>
              </a:extLst>
            </xdr14:cNvPr>
            <xdr14:cNvContentPartPr/>
          </xdr14:nvContentPartPr>
          <xdr14:nvPr macro=""/>
          <xdr14:xfrm>
            <a:off x="8538681" y="468432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D97A24D5-0DBF-6D3B-EFAC-EAB2D6B718B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530041" y="46303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324724</xdr:colOff>
      <xdr:row>18</xdr:row>
      <xdr:rowOff>112066</xdr:rowOff>
    </xdr:from>
    <xdr:to>
      <xdr:col>7</xdr:col>
      <xdr:colOff>325084</xdr:colOff>
      <xdr:row>18</xdr:row>
      <xdr:rowOff>112426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1C3694E1-8DD6-3EB3-E0B1-E9EA1B26A4C1}"/>
                </a:ext>
              </a:extLst>
            </xdr14:cNvPr>
            <xdr14:cNvContentPartPr/>
          </xdr14:nvContentPartPr>
          <xdr14:nvPr macro=""/>
          <xdr14:xfrm>
            <a:off x="6566400" y="3339360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1C3694E1-8DD6-3EB3-E0B1-E9EA1B26A4C1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6557760" y="3285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291039</xdr:colOff>
      <xdr:row>8</xdr:row>
      <xdr:rowOff>179167</xdr:rowOff>
    </xdr:from>
    <xdr:to>
      <xdr:col>3</xdr:col>
      <xdr:colOff>291399</xdr:colOff>
      <xdr:row>9</xdr:row>
      <xdr:rowOff>233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61D45605-16B2-7E16-608B-8B4B1F5CA40B}"/>
                </a:ext>
              </a:extLst>
            </xdr14:cNvPr>
            <xdr14:cNvContentPartPr/>
          </xdr14:nvContentPartPr>
          <xdr14:nvPr macro=""/>
          <xdr14:xfrm>
            <a:off x="2274480" y="16135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61D45605-16B2-7E16-608B-8B4B1F5CA40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265840" y="155988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504000</xdr:colOff>
      <xdr:row>1</xdr:row>
      <xdr:rowOff>122746</xdr:rowOff>
    </xdr:from>
    <xdr:to>
      <xdr:col>0</xdr:col>
      <xdr:colOff>504360</xdr:colOff>
      <xdr:row>1</xdr:row>
      <xdr:rowOff>123106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A5167FDB-5DB9-4548-31B1-4ECAED051EEF}"/>
                </a:ext>
              </a:extLst>
            </xdr14:cNvPr>
            <xdr14:cNvContentPartPr/>
          </xdr14:nvContentPartPr>
          <xdr14:nvPr macro=""/>
          <xdr14:xfrm>
            <a:off x="504000" y="30204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A5167FDB-5DB9-4548-31B1-4ECAED051EEF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495360" y="24840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246240</xdr:colOff>
      <xdr:row>0</xdr:row>
      <xdr:rowOff>67320</xdr:rowOff>
    </xdr:from>
    <xdr:to>
      <xdr:col>0</xdr:col>
      <xdr:colOff>246600</xdr:colOff>
      <xdr:row>0</xdr:row>
      <xdr:rowOff>67680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E9728719-EEC1-DB73-D7C5-E5DF02087A01}"/>
                </a:ext>
              </a:extLst>
            </xdr14:cNvPr>
            <xdr14:cNvContentPartPr/>
          </xdr14:nvContentPartPr>
          <xdr14:nvPr macro=""/>
          <xdr14:xfrm>
            <a:off x="246240" y="67320"/>
            <a:ext cx="360" cy="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E9728719-EEC1-DB73-D7C5-E5DF02087A01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237600" y="133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1030839</xdr:colOff>
      <xdr:row>25</xdr:row>
      <xdr:rowOff>78487</xdr:rowOff>
    </xdr:from>
    <xdr:to>
      <xdr:col>3</xdr:col>
      <xdr:colOff>1031199</xdr:colOff>
      <xdr:row>25</xdr:row>
      <xdr:rowOff>78847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C47C2CCA-FABF-216C-D842-FBC14EAA583B}"/>
                </a:ext>
              </a:extLst>
            </xdr14:cNvPr>
            <xdr14:cNvContentPartPr/>
          </xdr14:nvContentPartPr>
          <xdr14:nvPr macro=""/>
          <xdr14:xfrm>
            <a:off x="3014280" y="4560840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C47C2CCA-FABF-216C-D842-FBC14EAA583B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3005280" y="450684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459000</xdr:colOff>
      <xdr:row>0</xdr:row>
      <xdr:rowOff>156600</xdr:rowOff>
    </xdr:from>
    <xdr:to>
      <xdr:col>0</xdr:col>
      <xdr:colOff>849960</xdr:colOff>
      <xdr:row>1</xdr:row>
      <xdr:rowOff>1066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EAA076A0-84BA-A7A3-6B9C-30B1268A142C}"/>
                </a:ext>
              </a:extLst>
            </xdr14:cNvPr>
            <xdr14:cNvContentPartPr/>
          </xdr14:nvContentPartPr>
          <xdr14:nvPr macro=""/>
          <xdr14:xfrm>
            <a:off x="459000" y="156600"/>
            <a:ext cx="390960" cy="237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EAA076A0-84BA-A7A3-6B9C-30B1268A142C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0360" y="102960"/>
              <a:ext cx="408600" cy="13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459000</xdr:colOff>
      <xdr:row>0</xdr:row>
      <xdr:rowOff>156600</xdr:rowOff>
    </xdr:from>
    <xdr:to>
      <xdr:col>0</xdr:col>
      <xdr:colOff>459360</xdr:colOff>
      <xdr:row>0</xdr:row>
      <xdr:rowOff>156960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BD666421-E4CB-9D63-0BAA-8C3F42213D11}"/>
                </a:ext>
              </a:extLst>
            </xdr14:cNvPr>
            <xdr14:cNvContentPartPr/>
          </xdr14:nvContentPartPr>
          <xdr14:nvPr macro=""/>
          <xdr14:xfrm>
            <a:off x="459000" y="156600"/>
            <a:ext cx="360" cy="3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BD666421-E4CB-9D63-0BAA-8C3F42213D11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452880" y="1504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04T10:45:31.997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0 1,'0'0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04T10:45:32.879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1 0,'0'0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04T10:49:14.456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1 1,'0'0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04T10:49:15.651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1 1,'0'0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04T10:49:17.863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1 1,'0'0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04T10:49:18.639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1 0,'0'0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04T10:49:19.306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0 0,'0'0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04T10:49:28.171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1 1,'5'0,"13"0,8 5,16 2,6-1,0 0,-3 3,2 1,-2-2,1-2,0-2,-4-2,-4-1,-3 0,-1-2,-2 1,-1 0,-1-1,1 1,-1 0,1 0,0 0,0 0,-6 0,-1 0,1 0,0 0,3 0,1 0,0 0,2 0,0 0,-5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4T10:50:01.7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  <inkml:trace contextRef="#ctx0" brushRef="#br0" timeOffset="491.81">1 1 24575,'0'0'-8191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va" refreshedDate="46085.681019560187" createdVersion="8" refreshedVersion="8" minRefreshableVersion="3" recordCount="20" xr:uid="{30308E97-A086-4FE4-8EDF-7E0BE0BF642D}">
  <cacheSource type="worksheet">
    <worksheetSource ref="A1:K21" sheet="Dataset"/>
  </cacheSource>
  <cacheFields count="10">
    <cacheField name="Order_ID" numFmtId="0">
      <sharedItems containsSemiMixedTypes="0" containsString="0" containsNumber="1" containsInteger="1" minValue="1" maxValue="20"/>
    </cacheField>
    <cacheField name="Order_Date" numFmtId="0">
      <sharedItems containsDate="1" containsMixedTypes="1" minDate="2024-01-01T00:00:00" maxDate="2024-03-27T00:00:00"/>
    </cacheField>
    <cacheField name="Customer_Name" numFmtId="0">
      <sharedItems count="19">
        <s v="sita"/>
        <s v="ram"/>
        <s v="rahul"/>
        <s v="priyanka"/>
        <s v="geethika"/>
        <s v="karthika"/>
        <s v="karthik"/>
        <s v="meera"/>
        <s v="nina"/>
        <s v="pavani"/>
        <s v="madhavan"/>
        <s v="rachana"/>
        <s v="ruchitha"/>
        <s v="harika "/>
        <s v="priya "/>
        <s v="ameena"/>
        <s v="lakshmi"/>
        <s v="kalam"/>
        <s v="anu "/>
      </sharedItems>
    </cacheField>
    <cacheField name="City" numFmtId="0">
      <sharedItems count="6">
        <s v="Hyderabad "/>
        <s v="Mumbai"/>
        <s v="Delhi"/>
        <s v="Bangalore"/>
        <s v="Kerala"/>
        <s v="Pondicherry"/>
      </sharedItems>
    </cacheField>
    <cacheField name="Product_Category" numFmtId="0">
      <sharedItems count="3">
        <s v="Electronics"/>
        <s v="Grocery"/>
        <s v="Clothing"/>
      </sharedItems>
    </cacheField>
    <cacheField name="Product_Name" numFmtId="0">
      <sharedItems count="8">
        <s v="Laptop"/>
        <s v="rice"/>
        <s v="mobile"/>
        <s v="t shirt"/>
        <s v="sugar"/>
        <s v="pants"/>
        <s v="milk"/>
        <s v="headphones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65" maxValue="50000"/>
    </cacheField>
    <cacheField name="Payment_Method" numFmtId="0">
      <sharedItems/>
    </cacheField>
    <cacheField name="total_Revenue" numFmtId="0">
      <sharedItems containsSemiMixedTypes="0" containsString="0" containsNumber="1" containsInteger="1" minValue="210" maxValue="2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va" refreshedDate="46091.42919224537" createdVersion="8" refreshedVersion="8" minRefreshableVersion="3" recordCount="41" xr:uid="{DF88CC74-1548-45EC-BBFE-017970317CB1}">
  <cacheSource type="worksheet">
    <worksheetSource ref="A1:K42" sheet="Dataset"/>
  </cacheSource>
  <cacheFields count="11">
    <cacheField name="Order_ID" numFmtId="0">
      <sharedItems containsSemiMixedTypes="0" containsString="0" containsNumber="1" containsInteger="1" minValue="1" maxValue="41"/>
    </cacheField>
    <cacheField name="Order_Date" numFmtId="14">
      <sharedItems containsSemiMixedTypes="0" containsNonDate="0" containsDate="1" containsString="0" minDate="2024-01-01T00:00:00" maxDate="2024-02-11T00:00:00"/>
    </cacheField>
    <cacheField name="Month" numFmtId="14">
      <sharedItems count="2">
        <s v="Jan"/>
        <s v="Feb"/>
      </sharedItems>
    </cacheField>
    <cacheField name="Customer_Name" numFmtId="0">
      <sharedItems count="33">
        <s v="sita"/>
        <s v="ram"/>
        <s v="rahul"/>
        <s v="priyanka"/>
        <s v="geethika"/>
        <s v="karthika"/>
        <s v="karthik"/>
        <s v="meera"/>
        <s v="nina"/>
        <s v="pavani"/>
        <s v="madhavan"/>
        <s v="rachana"/>
        <s v="ruchitha"/>
        <s v="harika "/>
        <s v="priya "/>
        <s v="ameena"/>
        <s v="lakshmi"/>
        <s v="kalam"/>
        <s v="anu "/>
        <s v="Aarav"/>
        <s v="Vivaan"/>
        <s v="Aditya"/>
        <s v="Arjun"/>
        <s v="Rohan"/>
        <s v="Siddharth"/>
        <s v="Vikram"/>
        <s v="Ananya"/>
        <s v="Priya"/>
        <s v="Sneha"/>
        <s v="Pooja"/>
        <s v="Riya"/>
        <s v="Kavya"/>
        <s v="Divya"/>
      </sharedItems>
    </cacheField>
    <cacheField name="City" numFmtId="0">
      <sharedItems/>
    </cacheField>
    <cacheField name="Product_Category" numFmtId="0">
      <sharedItems/>
    </cacheField>
    <cacheField name="Product_Name" numFmtId="0">
      <sharedItems/>
    </cacheField>
    <cacheField name="Quantity" numFmtId="0">
      <sharedItems containsSemiMixedTypes="0" containsString="0" containsNumber="1" containsInteger="1" minValue="1" maxValue="6"/>
    </cacheField>
    <cacheField name="Unit_Price" numFmtId="0">
      <sharedItems containsSemiMixedTypes="0" containsString="0" containsNumber="1" containsInteger="1" minValue="40" maxValue="80000"/>
    </cacheField>
    <cacheField name="Payment_Method" numFmtId="0">
      <sharedItems/>
    </cacheField>
    <cacheField name="total_Revenue" numFmtId="0">
      <sharedItems containsSemiMixedTypes="0" containsString="0" containsNumber="1" containsInteger="1" minValue="210" maxValue="2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d v="2024-01-01T00:00:00"/>
    <x v="0"/>
    <x v="0"/>
    <x v="0"/>
    <x v="0"/>
    <n v="2"/>
    <n v="20000"/>
    <s v="upi"/>
    <n v="40000"/>
  </r>
  <r>
    <n v="2"/>
    <d v="2024-01-03T00:00:00"/>
    <x v="1"/>
    <x v="1"/>
    <x v="1"/>
    <x v="1"/>
    <n v="3"/>
    <n v="1000"/>
    <s v="upi"/>
    <n v="3000"/>
  </r>
  <r>
    <n v="3"/>
    <d v="2024-01-07T00:00:00"/>
    <x v="2"/>
    <x v="0"/>
    <x v="0"/>
    <x v="0"/>
    <n v="4"/>
    <n v="20000"/>
    <s v="upi"/>
    <n v="80000"/>
  </r>
  <r>
    <n v="4"/>
    <d v="2024-01-12T00:00:00"/>
    <x v="3"/>
    <x v="1"/>
    <x v="0"/>
    <x v="2"/>
    <n v="2"/>
    <n v="30000"/>
    <s v="upi"/>
    <n v="60000"/>
  </r>
  <r>
    <n v="5"/>
    <d v="2024-01-18T00:00:00"/>
    <x v="4"/>
    <x v="2"/>
    <x v="2"/>
    <x v="3"/>
    <n v="3"/>
    <n v="500"/>
    <s v="cash"/>
    <n v="1500"/>
  </r>
  <r>
    <n v="6"/>
    <d v="2024-01-25T00:00:00"/>
    <x v="5"/>
    <x v="3"/>
    <x v="1"/>
    <x v="4"/>
    <n v="4"/>
    <n v="350"/>
    <s v="cash"/>
    <n v="1400"/>
  </r>
  <r>
    <n v="7"/>
    <d v="2024-01-27T00:00:00"/>
    <x v="6"/>
    <x v="3"/>
    <x v="2"/>
    <x v="5"/>
    <n v="1"/>
    <n v="500"/>
    <s v="cash"/>
    <n v="500"/>
  </r>
  <r>
    <n v="8"/>
    <d v="2024-02-02T00:00:00"/>
    <x v="7"/>
    <x v="3"/>
    <x v="2"/>
    <x v="3"/>
    <n v="2"/>
    <n v="500"/>
    <s v="cash"/>
    <n v="1000"/>
  </r>
  <r>
    <n v="9"/>
    <d v="2024-02-05T00:00:00"/>
    <x v="8"/>
    <x v="1"/>
    <x v="1"/>
    <x v="6"/>
    <n v="4"/>
    <n v="65"/>
    <s v="upi"/>
    <n v="260"/>
  </r>
  <r>
    <n v="10"/>
    <d v="2024-02-11T00:00:00"/>
    <x v="9"/>
    <x v="0"/>
    <x v="0"/>
    <x v="7"/>
    <n v="2"/>
    <n v="1500"/>
    <s v="cash"/>
    <n v="3000"/>
  </r>
  <r>
    <n v="11"/>
    <d v="2024-02-17T00:00:00"/>
    <x v="10"/>
    <x v="2"/>
    <x v="0"/>
    <x v="0"/>
    <n v="5"/>
    <n v="50000"/>
    <s v="upi"/>
    <n v="250000"/>
  </r>
  <r>
    <n v="12"/>
    <d v="2024-02-23T00:00:00"/>
    <x v="11"/>
    <x v="1"/>
    <x v="1"/>
    <x v="1"/>
    <n v="4"/>
    <n v="700"/>
    <s v="upi"/>
    <n v="2800"/>
  </r>
  <r>
    <n v="13"/>
    <d v="2024-02-28T00:00:00"/>
    <x v="12"/>
    <x v="3"/>
    <x v="1"/>
    <x v="4"/>
    <n v="5"/>
    <n v="789"/>
    <s v="upi"/>
    <n v="3945"/>
  </r>
  <r>
    <n v="14"/>
    <d v="2024-03-03T00:00:00"/>
    <x v="12"/>
    <x v="4"/>
    <x v="2"/>
    <x v="3"/>
    <n v="3"/>
    <n v="450"/>
    <s v="upi"/>
    <n v="1350"/>
  </r>
  <r>
    <n v="15"/>
    <d v="2024-03-08T00:00:00"/>
    <x v="13"/>
    <x v="3"/>
    <x v="2"/>
    <x v="3"/>
    <n v="1"/>
    <n v="2345"/>
    <s v="upi"/>
    <n v="2345"/>
  </r>
  <r>
    <n v="16"/>
    <d v="2024-03-14T00:00:00"/>
    <x v="14"/>
    <x v="0"/>
    <x v="1"/>
    <x v="1"/>
    <n v="3"/>
    <n v="700"/>
    <s v="upi"/>
    <n v="2100"/>
  </r>
  <r>
    <n v="17"/>
    <d v="2024-03-19T00:00:00"/>
    <x v="15"/>
    <x v="3"/>
    <x v="2"/>
    <x v="5"/>
    <n v="2"/>
    <n v="500"/>
    <s v="upi"/>
    <n v="1000"/>
  </r>
  <r>
    <n v="18"/>
    <d v="2024-03-22T00:00:00"/>
    <x v="16"/>
    <x v="5"/>
    <x v="0"/>
    <x v="7"/>
    <n v="3"/>
    <n v="1500"/>
    <s v="upi"/>
    <n v="4500"/>
  </r>
  <r>
    <n v="19"/>
    <d v="2024-03-26T00:00:00"/>
    <x v="17"/>
    <x v="3"/>
    <x v="1"/>
    <x v="6"/>
    <n v="3"/>
    <n v="70"/>
    <s v="upi"/>
    <n v="210"/>
  </r>
  <r>
    <n v="20"/>
    <s v=" 31-03-2024"/>
    <x v="18"/>
    <x v="0"/>
    <x v="2"/>
    <x v="3"/>
    <n v="4"/>
    <n v="500"/>
    <s v="upi"/>
    <n v="2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n v="1"/>
    <d v="2024-01-01T00:00:00"/>
    <x v="0"/>
    <x v="0"/>
    <s v="Hyderabad "/>
    <s v="Electronics"/>
    <s v="Laptop"/>
    <n v="2"/>
    <n v="20000"/>
    <s v="upi"/>
    <n v="40000"/>
  </r>
  <r>
    <n v="2"/>
    <d v="2024-01-02T00:00:00"/>
    <x v="0"/>
    <x v="1"/>
    <s v="Mumbai"/>
    <s v="Grocery"/>
    <s v="rice"/>
    <n v="3"/>
    <n v="1000"/>
    <s v="upi"/>
    <n v="3000"/>
  </r>
  <r>
    <n v="3"/>
    <d v="2024-01-03T00:00:00"/>
    <x v="0"/>
    <x v="2"/>
    <s v="Hyderabad "/>
    <s v="Electronics"/>
    <s v="Laptop"/>
    <n v="4"/>
    <n v="20000"/>
    <s v="upi"/>
    <n v="80000"/>
  </r>
  <r>
    <n v="4"/>
    <d v="2024-01-04T00:00:00"/>
    <x v="0"/>
    <x v="3"/>
    <s v="Mumbai"/>
    <s v="Electronics"/>
    <s v="mobile"/>
    <n v="2"/>
    <n v="30000"/>
    <s v="upi"/>
    <n v="60000"/>
  </r>
  <r>
    <n v="5"/>
    <d v="2024-01-05T00:00:00"/>
    <x v="0"/>
    <x v="4"/>
    <s v="Delhi"/>
    <s v="Clothing"/>
    <s v="t shirt"/>
    <n v="3"/>
    <n v="500"/>
    <s v="cash"/>
    <n v="1500"/>
  </r>
  <r>
    <n v="6"/>
    <d v="2024-01-06T00:00:00"/>
    <x v="0"/>
    <x v="5"/>
    <s v="Bangalore"/>
    <s v="Grocery"/>
    <s v="sugar"/>
    <n v="4"/>
    <n v="350"/>
    <s v="cash"/>
    <n v="1400"/>
  </r>
  <r>
    <n v="7"/>
    <d v="2024-01-07T00:00:00"/>
    <x v="0"/>
    <x v="6"/>
    <s v="Bangalore"/>
    <s v="Clothing"/>
    <s v="pants"/>
    <n v="1"/>
    <n v="500"/>
    <s v="cash"/>
    <n v="500"/>
  </r>
  <r>
    <n v="8"/>
    <d v="2024-01-08T00:00:00"/>
    <x v="0"/>
    <x v="7"/>
    <s v="Bangalore"/>
    <s v="Clothing"/>
    <s v="t shirt"/>
    <n v="2"/>
    <n v="500"/>
    <s v="cash"/>
    <n v="1000"/>
  </r>
  <r>
    <n v="9"/>
    <d v="2024-01-09T00:00:00"/>
    <x v="0"/>
    <x v="8"/>
    <s v="Mumbai"/>
    <s v="Grocery"/>
    <s v="milk"/>
    <n v="4"/>
    <n v="65"/>
    <s v="upi"/>
    <n v="260"/>
  </r>
  <r>
    <n v="10"/>
    <d v="2024-01-10T00:00:00"/>
    <x v="0"/>
    <x v="9"/>
    <s v="Hyderabad "/>
    <s v="Electronics"/>
    <s v="headphones"/>
    <n v="2"/>
    <n v="1500"/>
    <s v="cash"/>
    <n v="3000"/>
  </r>
  <r>
    <n v="11"/>
    <d v="2024-01-11T00:00:00"/>
    <x v="0"/>
    <x v="10"/>
    <s v="Delhi"/>
    <s v="Electronics"/>
    <s v="Laptop"/>
    <n v="5"/>
    <n v="50000"/>
    <s v="upi"/>
    <n v="250000"/>
  </r>
  <r>
    <n v="12"/>
    <d v="2024-01-12T00:00:00"/>
    <x v="0"/>
    <x v="11"/>
    <s v="Mumbai"/>
    <s v="Grocery"/>
    <s v="rice"/>
    <n v="4"/>
    <n v="700"/>
    <s v="upi"/>
    <n v="2800"/>
  </r>
  <r>
    <n v="13"/>
    <d v="2024-01-13T00:00:00"/>
    <x v="0"/>
    <x v="12"/>
    <s v="Bangalore"/>
    <s v="Grocery"/>
    <s v="sugar"/>
    <n v="5"/>
    <n v="789"/>
    <s v="upi"/>
    <n v="3945"/>
  </r>
  <r>
    <n v="14"/>
    <d v="2024-01-14T00:00:00"/>
    <x v="0"/>
    <x v="12"/>
    <s v="Kerala"/>
    <s v="Clothing"/>
    <s v="t shirt"/>
    <n v="3"/>
    <n v="450"/>
    <s v="upi"/>
    <n v="1350"/>
  </r>
  <r>
    <n v="15"/>
    <d v="2024-01-15T00:00:00"/>
    <x v="0"/>
    <x v="13"/>
    <s v="Bangalore"/>
    <s v="Clothing"/>
    <s v="t shirt"/>
    <n v="1"/>
    <n v="2345"/>
    <s v="upi"/>
    <n v="2345"/>
  </r>
  <r>
    <n v="16"/>
    <d v="2024-01-16T00:00:00"/>
    <x v="0"/>
    <x v="14"/>
    <s v="Hyderabad "/>
    <s v="Grocery"/>
    <s v="rice"/>
    <n v="3"/>
    <n v="700"/>
    <s v="upi"/>
    <n v="2100"/>
  </r>
  <r>
    <n v="17"/>
    <d v="2024-01-17T00:00:00"/>
    <x v="0"/>
    <x v="15"/>
    <s v="Bangalore"/>
    <s v="Clothing"/>
    <s v="pants"/>
    <n v="2"/>
    <n v="500"/>
    <s v="upi"/>
    <n v="1000"/>
  </r>
  <r>
    <n v="18"/>
    <d v="2024-01-18T00:00:00"/>
    <x v="0"/>
    <x v="16"/>
    <s v="Pondicherry"/>
    <s v="Electronics"/>
    <s v="headphones"/>
    <n v="3"/>
    <n v="1500"/>
    <s v="upi"/>
    <n v="4500"/>
  </r>
  <r>
    <n v="19"/>
    <d v="2024-01-19T00:00:00"/>
    <x v="0"/>
    <x v="17"/>
    <s v="Bangalore"/>
    <s v="Grocery"/>
    <s v="milk"/>
    <n v="3"/>
    <n v="70"/>
    <s v="upi"/>
    <n v="210"/>
  </r>
  <r>
    <n v="20"/>
    <d v="2024-01-20T00:00:00"/>
    <x v="0"/>
    <x v="18"/>
    <s v="Hyderabad "/>
    <s v="Clothing"/>
    <s v="t shirt"/>
    <n v="4"/>
    <n v="500"/>
    <s v="upi"/>
    <n v="2000"/>
  </r>
  <r>
    <n v="21"/>
    <d v="2024-01-21T00:00:00"/>
    <x v="0"/>
    <x v="19"/>
    <s v="Delhi"/>
    <s v="Electronics"/>
    <s v="Laptop"/>
    <n v="1"/>
    <n v="75000"/>
    <s v="upi"/>
    <n v="75000"/>
  </r>
  <r>
    <n v="22"/>
    <d v="2024-01-22T00:00:00"/>
    <x v="0"/>
    <x v="20"/>
    <s v="Mumbai"/>
    <s v="Electronics"/>
    <s v="mobile"/>
    <n v="2"/>
    <n v="30000"/>
    <s v="Credit Card"/>
    <n v="60000"/>
  </r>
  <r>
    <n v="23"/>
    <d v="2024-01-23T00:00:00"/>
    <x v="0"/>
    <x v="21"/>
    <s v="Hyderabad"/>
    <s v="Clothing"/>
    <s v="Tshirt"/>
    <n v="3"/>
    <n v="500"/>
    <s v="cash"/>
    <n v="1500"/>
  </r>
  <r>
    <n v="24"/>
    <d v="2024-01-24T00:00:00"/>
    <x v="0"/>
    <x v="22"/>
    <s v="Bangalore"/>
    <s v="Grocery"/>
    <s v="rice"/>
    <n v="5"/>
    <n v="60"/>
    <s v="Debit Card"/>
    <n v="300"/>
  </r>
  <r>
    <n v="25"/>
    <d v="2024-01-25T00:00:00"/>
    <x v="0"/>
    <x v="23"/>
    <s v="Chennai"/>
    <s v="Electronics"/>
    <s v="headphones"/>
    <n v="2"/>
    <n v="2500"/>
    <s v="upi"/>
    <n v="5000"/>
  </r>
  <r>
    <n v="26"/>
    <d v="2024-01-26T00:00:00"/>
    <x v="0"/>
    <x v="2"/>
    <s v="Kolkata"/>
    <s v="Clothing"/>
    <s v="pants"/>
    <n v="4"/>
    <n v="1200"/>
    <s v="Credit Card"/>
    <n v="4800"/>
  </r>
  <r>
    <n v="27"/>
    <d v="2024-01-27T00:00:00"/>
    <x v="0"/>
    <x v="6"/>
    <s v="Pune"/>
    <s v="Grocery"/>
    <s v="sugar"/>
    <n v="6"/>
    <n v="45"/>
    <s v="cash"/>
    <n v="270"/>
  </r>
  <r>
    <n v="28"/>
    <d v="2024-01-28T00:00:00"/>
    <x v="0"/>
    <x v="10"/>
    <s v="Ahmedabad"/>
    <s v="Electronics"/>
    <s v="Laptop"/>
    <n v="1"/>
    <n v="80000"/>
    <s v="upi"/>
    <n v="80000"/>
  </r>
  <r>
    <n v="29"/>
    <d v="2024-01-29T00:00:00"/>
    <x v="0"/>
    <x v="24"/>
    <s v="Jaipur"/>
    <s v="Clothing"/>
    <s v="mobile"/>
    <n v="2"/>
    <n v="28000"/>
    <s v="Debit Card"/>
    <n v="56000"/>
  </r>
  <r>
    <n v="30"/>
    <d v="2024-01-30T00:00:00"/>
    <x v="0"/>
    <x v="25"/>
    <s v="Lucknow"/>
    <s v="Grocery"/>
    <s v="Tshirt"/>
    <n v="3"/>
    <n v="450"/>
    <s v="Credit Card"/>
    <n v="1350"/>
  </r>
  <r>
    <n v="31"/>
    <d v="2024-01-31T00:00:00"/>
    <x v="0"/>
    <x v="26"/>
    <s v="Kochi"/>
    <s v="Electronics"/>
    <s v="rice"/>
    <n v="4"/>
    <n v="55"/>
    <s v="cash"/>
    <n v="220"/>
  </r>
  <r>
    <n v="32"/>
    <d v="2024-02-01T00:00:00"/>
    <x v="1"/>
    <x v="27"/>
    <s v="Indore"/>
    <s v="Clothing"/>
    <s v="headphones"/>
    <n v="2"/>
    <n v="2200"/>
    <s v="upi"/>
    <n v="4400"/>
  </r>
  <r>
    <n v="33"/>
    <d v="2024-02-02T00:00:00"/>
    <x v="1"/>
    <x v="28"/>
    <s v="Bhopal"/>
    <s v="Grocery"/>
    <s v="pants"/>
    <n v="3"/>
    <n v="1500"/>
    <s v="Debit Card"/>
    <n v="4500"/>
  </r>
  <r>
    <n v="34"/>
    <d v="2024-02-03T00:00:00"/>
    <x v="1"/>
    <x v="29"/>
    <s v="Chandigarh"/>
    <s v="Electronics"/>
    <s v="sugar"/>
    <n v="5"/>
    <n v="50"/>
    <s v="Credit Card"/>
    <n v="250"/>
  </r>
  <r>
    <n v="35"/>
    <d v="2024-02-04T00:00:00"/>
    <x v="1"/>
    <x v="30"/>
    <s v="Nagpur"/>
    <s v="Clothing"/>
    <s v="Laptop"/>
    <n v="1"/>
    <n v="78000"/>
    <s v="upi"/>
    <n v="78000"/>
  </r>
  <r>
    <n v="36"/>
    <d v="2024-02-05T00:00:00"/>
    <x v="1"/>
    <x v="31"/>
    <s v="Visakhapatnam"/>
    <s v="Grocery"/>
    <s v="mobile"/>
    <n v="2"/>
    <n v="32000"/>
    <s v="cash"/>
    <n v="64000"/>
  </r>
  <r>
    <n v="37"/>
    <d v="2024-02-06T00:00:00"/>
    <x v="1"/>
    <x v="32"/>
    <s v="Coimbatore"/>
    <s v="Electronics"/>
    <s v="Tshirt"/>
    <n v="3"/>
    <n v="550"/>
    <s v="Debit Card"/>
    <n v="1650"/>
  </r>
  <r>
    <n v="38"/>
    <d v="2024-02-07T00:00:00"/>
    <x v="1"/>
    <x v="7"/>
    <s v="Patna"/>
    <s v="Clothing"/>
    <s v="rice"/>
    <n v="4"/>
    <n v="65"/>
    <s v="Credit Card"/>
    <n v="260"/>
  </r>
  <r>
    <n v="39"/>
    <d v="2024-02-08T00:00:00"/>
    <x v="1"/>
    <x v="0"/>
    <s v="Surat"/>
    <s v="Grocery"/>
    <s v="headphones"/>
    <n v="2"/>
    <n v="2700"/>
    <s v="upi"/>
    <n v="5400"/>
  </r>
  <r>
    <n v="40"/>
    <d v="2024-02-09T00:00:00"/>
    <x v="1"/>
    <x v="16"/>
    <s v="Vijayawada"/>
    <s v="Electronics"/>
    <s v="pants"/>
    <n v="3"/>
    <n v="1400"/>
    <s v="cash"/>
    <n v="4200"/>
  </r>
  <r>
    <n v="41"/>
    <d v="2024-02-10T00:00:00"/>
    <x v="1"/>
    <x v="12"/>
    <s v="Mysore"/>
    <s v="Clothing"/>
    <s v="milk"/>
    <n v="6"/>
    <n v="40"/>
    <s v="Debit Card"/>
    <n v="2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358119-ED34-43B7-A0A6-6B16FEDF74B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7" firstHeaderRow="1" firstDataRow="1" firstDataCol="1"/>
  <pivotFields count="10"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Revenue" fld="9" baseField="0" baseItem="0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5A7A03-D250-402C-A08C-42F58465563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0" firstHeaderRow="1" firstDataRow="1" firstDataCol="1"/>
  <pivotFields count="10">
    <pivotField showAll="0"/>
    <pivotField showAll="0"/>
    <pivotField showAll="0"/>
    <pivotField axis="axisRow" showAll="0" sortType="descending">
      <items count="7">
        <item x="3"/>
        <item x="2"/>
        <item x="0"/>
        <item x="4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7">
    <i>
      <x v="1"/>
    </i>
    <i>
      <x v="2"/>
    </i>
    <i>
      <x v="4"/>
    </i>
    <i>
      <x/>
    </i>
    <i>
      <x v="5"/>
    </i>
    <i>
      <x v="3"/>
    </i>
    <i t="grand">
      <x/>
    </i>
  </rowItems>
  <colItems count="1">
    <i/>
  </colItems>
  <dataFields count="1">
    <dataField name="Sum of total_Revenue" fld="9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490F88-7DB5-4652-A117-3A26D0CBA38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2" firstHeaderRow="1" firstDataRow="1" firstDataCol="1"/>
  <pivotFields count="10">
    <pivotField showAll="0"/>
    <pivotField showAll="0"/>
    <pivotField showAll="0"/>
    <pivotField showAll="0"/>
    <pivotField showAll="0"/>
    <pivotField axis="axisRow" showAll="0" sortType="descending">
      <items count="9">
        <item x="7"/>
        <item x="0"/>
        <item x="6"/>
        <item x="2"/>
        <item x="5"/>
        <item x="1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5"/>
  </rowFields>
  <rowItems count="9">
    <i>
      <x v="1"/>
    </i>
    <i>
      <x v="3"/>
    </i>
    <i>
      <x v="7"/>
    </i>
    <i>
      <x v="5"/>
    </i>
    <i>
      <x/>
    </i>
    <i>
      <x v="6"/>
    </i>
    <i>
      <x v="4"/>
    </i>
    <i>
      <x v="2"/>
    </i>
    <i t="grand">
      <x/>
    </i>
  </rowItems>
  <colItems count="1">
    <i/>
  </colItems>
  <dataFields count="1">
    <dataField name="Sum of total_Revenue" fld="9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DB23C2-80CD-4E85-B637-686FF92B36C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23" firstHeaderRow="1" firstDataRow="1" firstDataCol="1"/>
  <pivotFields count="10">
    <pivotField showAll="0"/>
    <pivotField showAll="0"/>
    <pivotField axis="axisRow" showAll="0" sortType="descending">
      <items count="20">
        <item x="15"/>
        <item x="18"/>
        <item x="4"/>
        <item x="13"/>
        <item x="17"/>
        <item x="6"/>
        <item x="5"/>
        <item x="16"/>
        <item x="10"/>
        <item x="7"/>
        <item x="8"/>
        <item x="9"/>
        <item x="14"/>
        <item x="3"/>
        <item x="11"/>
        <item x="2"/>
        <item x="1"/>
        <item x="1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20">
    <i>
      <x v="8"/>
    </i>
    <i>
      <x v="15"/>
    </i>
    <i>
      <x v="13"/>
    </i>
    <i>
      <x v="18"/>
    </i>
    <i>
      <x v="17"/>
    </i>
    <i>
      <x v="7"/>
    </i>
    <i>
      <x v="16"/>
    </i>
    <i>
      <x v="11"/>
    </i>
    <i>
      <x v="14"/>
    </i>
    <i>
      <x v="3"/>
    </i>
    <i>
      <x v="12"/>
    </i>
    <i>
      <x v="1"/>
    </i>
    <i>
      <x v="2"/>
    </i>
    <i>
      <x v="6"/>
    </i>
    <i>
      <x/>
    </i>
    <i>
      <x v="9"/>
    </i>
    <i>
      <x v="5"/>
    </i>
    <i>
      <x v="10"/>
    </i>
    <i>
      <x v="4"/>
    </i>
    <i t="grand">
      <x/>
    </i>
  </rowItems>
  <colItems count="1">
    <i/>
  </colItems>
  <dataFields count="1">
    <dataField name="Sum of total_Revenue" fld="9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DF64C-A4E0-4CDA-ADA8-589C1F028A09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11">
    <pivotField showAll="0"/>
    <pivotField numFmtId="1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total_Revenue" fld="10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E6DA99-3BA4-4C0A-8D01-2107A91DD80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7" firstHeaderRow="1" firstDataRow="1" firstDataCol="1"/>
  <pivotFields count="11">
    <pivotField dataField="1" showAll="0"/>
    <pivotField numFmtId="14" showAll="0"/>
    <pivotField showAll="0"/>
    <pivotField axis="axisRow" showAll="0">
      <items count="34">
        <item x="19"/>
        <item x="21"/>
        <item x="15"/>
        <item x="26"/>
        <item x="18"/>
        <item x="22"/>
        <item x="32"/>
        <item x="4"/>
        <item x="13"/>
        <item x="17"/>
        <item x="6"/>
        <item x="5"/>
        <item x="31"/>
        <item x="16"/>
        <item x="10"/>
        <item x="7"/>
        <item x="8"/>
        <item x="9"/>
        <item x="29"/>
        <item x="27"/>
        <item x="14"/>
        <item x="3"/>
        <item x="11"/>
        <item x="2"/>
        <item x="1"/>
        <item x="30"/>
        <item x="23"/>
        <item x="12"/>
        <item x="24"/>
        <item x="0"/>
        <item x="28"/>
        <item x="25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Count of Order_ID" fld="0" subtotal="count" baseField="3" baseItem="0"/>
  </dataFields>
  <formats count="8">
    <format dxfId="7">
      <pivotArea dataOnly="0" fieldPosition="0">
        <references count="1">
          <reference field="3" count="1">
            <x v="27"/>
          </reference>
        </references>
      </pivotArea>
    </format>
    <format dxfId="6">
      <pivotArea collapsedLevelsAreSubtotals="1" fieldPosition="0">
        <references count="1">
          <reference field="3" count="1">
            <x v="10"/>
          </reference>
        </references>
      </pivotArea>
    </format>
    <format dxfId="5">
      <pivotArea dataOnly="0" labelOnly="1" fieldPosition="0">
        <references count="1">
          <reference field="3" count="1">
            <x v="10"/>
          </reference>
        </references>
      </pivotArea>
    </format>
    <format dxfId="4">
      <pivotArea dataOnly="0" fieldPosition="0">
        <references count="1">
          <reference field="3" count="1">
            <x v="13"/>
          </reference>
        </references>
      </pivotArea>
    </format>
    <format dxfId="3">
      <pivotArea dataOnly="0" fieldPosition="0">
        <references count="1">
          <reference field="3" count="1">
            <x v="14"/>
          </reference>
        </references>
      </pivotArea>
    </format>
    <format dxfId="2">
      <pivotArea dataOnly="0" fieldPosition="0">
        <references count="1">
          <reference field="3" count="1">
            <x v="15"/>
          </reference>
        </references>
      </pivotArea>
    </format>
    <format dxfId="1">
      <pivotArea dataOnly="0" fieldPosition="0">
        <references count="1">
          <reference field="3" count="1">
            <x v="23"/>
          </reference>
        </references>
      </pivotArea>
    </format>
    <format dxfId="0">
      <pivotArea dataOnly="0" fieldPosition="0">
        <references count="1">
          <reference field="3" count="1">
            <x v="2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E658D-E8B0-4BA4-935E-31B1019F11ED}">
  <dimension ref="A3:B7"/>
  <sheetViews>
    <sheetView zoomScale="75" workbookViewId="0">
      <selection activeCell="B6" sqref="B6"/>
    </sheetView>
  </sheetViews>
  <sheetFormatPr defaultRowHeight="14.4" x14ac:dyDescent="0.3"/>
  <cols>
    <col min="1" max="1" width="12.5546875" bestFit="1" customWidth="1"/>
    <col min="2" max="2" width="19.88671875" bestFit="1" customWidth="1"/>
  </cols>
  <sheetData>
    <row r="3" spans="1:2" x14ac:dyDescent="0.3">
      <c r="A3" s="1" t="s">
        <v>48</v>
      </c>
      <c r="B3" t="s">
        <v>50</v>
      </c>
    </row>
    <row r="4" spans="1:2" x14ac:dyDescent="0.3">
      <c r="A4" s="2" t="s">
        <v>30</v>
      </c>
      <c r="B4">
        <v>9695</v>
      </c>
    </row>
    <row r="5" spans="1:2" x14ac:dyDescent="0.3">
      <c r="A5" s="2" t="s">
        <v>28</v>
      </c>
      <c r="B5">
        <v>437500</v>
      </c>
    </row>
    <row r="6" spans="1:2" x14ac:dyDescent="0.3">
      <c r="A6" s="2" t="s">
        <v>29</v>
      </c>
      <c r="B6">
        <v>13715</v>
      </c>
    </row>
    <row r="7" spans="1:2" x14ac:dyDescent="0.3">
      <c r="A7" s="2" t="s">
        <v>49</v>
      </c>
      <c r="B7">
        <v>460910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F27C8-A3A6-4B30-8356-F656FE22B223}">
  <dimension ref="A3:B10"/>
  <sheetViews>
    <sheetView zoomScale="112" workbookViewId="0">
      <selection activeCell="B6" sqref="B6"/>
    </sheetView>
  </sheetViews>
  <sheetFormatPr defaultRowHeight="14.4" x14ac:dyDescent="0.3"/>
  <cols>
    <col min="1" max="1" width="12.5546875" bestFit="1" customWidth="1"/>
    <col min="2" max="2" width="19.88671875" bestFit="1" customWidth="1"/>
  </cols>
  <sheetData>
    <row r="3" spans="1:2" x14ac:dyDescent="0.3">
      <c r="A3" s="1" t="s">
        <v>48</v>
      </c>
      <c r="B3" t="s">
        <v>50</v>
      </c>
    </row>
    <row r="4" spans="1:2" x14ac:dyDescent="0.3">
      <c r="A4" s="2" t="s">
        <v>43</v>
      </c>
      <c r="B4">
        <v>251500</v>
      </c>
    </row>
    <row r="5" spans="1:2" x14ac:dyDescent="0.3">
      <c r="A5" s="2" t="s">
        <v>41</v>
      </c>
      <c r="B5">
        <v>127100</v>
      </c>
    </row>
    <row r="6" spans="1:2" x14ac:dyDescent="0.3">
      <c r="A6" s="2" t="s">
        <v>42</v>
      </c>
      <c r="B6">
        <v>66060</v>
      </c>
    </row>
    <row r="7" spans="1:2" x14ac:dyDescent="0.3">
      <c r="A7" s="2" t="s">
        <v>44</v>
      </c>
      <c r="B7">
        <v>10400</v>
      </c>
    </row>
    <row r="8" spans="1:2" x14ac:dyDescent="0.3">
      <c r="A8" s="2" t="s">
        <v>46</v>
      </c>
      <c r="B8">
        <v>4500</v>
      </c>
    </row>
    <row r="9" spans="1:2" x14ac:dyDescent="0.3">
      <c r="A9" s="2" t="s">
        <v>45</v>
      </c>
      <c r="B9">
        <v>1350</v>
      </c>
    </row>
    <row r="10" spans="1:2" x14ac:dyDescent="0.3">
      <c r="A10" s="2" t="s">
        <v>49</v>
      </c>
      <c r="B10">
        <v>460910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E7844-5336-4C25-AFAE-6E8306052FF1}">
  <dimension ref="A3:B12"/>
  <sheetViews>
    <sheetView topLeftCell="A2" zoomScale="125" workbookViewId="0">
      <selection activeCell="B5" sqref="B5"/>
    </sheetView>
  </sheetViews>
  <sheetFormatPr defaultRowHeight="14.4" x14ac:dyDescent="0.3"/>
  <cols>
    <col min="1" max="1" width="12.5546875" bestFit="1" customWidth="1"/>
    <col min="2" max="2" width="19.88671875" bestFit="1" customWidth="1"/>
  </cols>
  <sheetData>
    <row r="3" spans="1:2" x14ac:dyDescent="0.3">
      <c r="A3" s="1" t="s">
        <v>48</v>
      </c>
      <c r="B3" t="s">
        <v>50</v>
      </c>
    </row>
    <row r="4" spans="1:2" x14ac:dyDescent="0.3">
      <c r="A4" s="2" t="s">
        <v>31</v>
      </c>
      <c r="B4">
        <v>370000</v>
      </c>
    </row>
    <row r="5" spans="1:2" x14ac:dyDescent="0.3">
      <c r="A5" s="2" t="s">
        <v>32</v>
      </c>
      <c r="B5">
        <v>60000</v>
      </c>
    </row>
    <row r="6" spans="1:2" x14ac:dyDescent="0.3">
      <c r="A6" s="2" t="s">
        <v>34</v>
      </c>
      <c r="B6">
        <v>8195</v>
      </c>
    </row>
    <row r="7" spans="1:2" x14ac:dyDescent="0.3">
      <c r="A7" s="2" t="s">
        <v>33</v>
      </c>
      <c r="B7">
        <v>7900</v>
      </c>
    </row>
    <row r="8" spans="1:2" x14ac:dyDescent="0.3">
      <c r="A8" s="2" t="s">
        <v>37</v>
      </c>
      <c r="B8">
        <v>7500</v>
      </c>
    </row>
    <row r="9" spans="1:2" x14ac:dyDescent="0.3">
      <c r="A9" s="2" t="s">
        <v>40</v>
      </c>
      <c r="B9">
        <v>5345</v>
      </c>
    </row>
    <row r="10" spans="1:2" x14ac:dyDescent="0.3">
      <c r="A10" s="2" t="s">
        <v>35</v>
      </c>
      <c r="B10">
        <v>1500</v>
      </c>
    </row>
    <row r="11" spans="1:2" x14ac:dyDescent="0.3">
      <c r="A11" s="2" t="s">
        <v>36</v>
      </c>
      <c r="B11">
        <v>470</v>
      </c>
    </row>
    <row r="12" spans="1:2" x14ac:dyDescent="0.3">
      <c r="A12" s="2" t="s">
        <v>49</v>
      </c>
      <c r="B12">
        <v>460910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3BD7F-8431-4C88-89AA-81B7789794DF}">
  <dimension ref="A3:B23"/>
  <sheetViews>
    <sheetView topLeftCell="A3" workbookViewId="0">
      <selection activeCell="D25" sqref="D25"/>
    </sheetView>
  </sheetViews>
  <sheetFormatPr defaultRowHeight="14.4" x14ac:dyDescent="0.3"/>
  <cols>
    <col min="1" max="1" width="12.5546875" bestFit="1" customWidth="1"/>
    <col min="2" max="2" width="19.88671875" bestFit="1" customWidth="1"/>
  </cols>
  <sheetData>
    <row r="3" spans="1:2" x14ac:dyDescent="0.3">
      <c r="A3" s="1" t="s">
        <v>48</v>
      </c>
      <c r="B3" t="s">
        <v>50</v>
      </c>
    </row>
    <row r="4" spans="1:2" x14ac:dyDescent="0.3">
      <c r="A4" s="2" t="s">
        <v>19</v>
      </c>
      <c r="B4">
        <v>250000</v>
      </c>
    </row>
    <row r="5" spans="1:2" x14ac:dyDescent="0.3">
      <c r="A5" s="2" t="s">
        <v>11</v>
      </c>
      <c r="B5">
        <v>80000</v>
      </c>
    </row>
    <row r="6" spans="1:2" x14ac:dyDescent="0.3">
      <c r="A6" s="2" t="s">
        <v>12</v>
      </c>
      <c r="B6">
        <v>60000</v>
      </c>
    </row>
    <row r="7" spans="1:2" x14ac:dyDescent="0.3">
      <c r="A7" s="2" t="s">
        <v>9</v>
      </c>
      <c r="B7">
        <v>40000</v>
      </c>
    </row>
    <row r="8" spans="1:2" x14ac:dyDescent="0.3">
      <c r="A8" s="2" t="s">
        <v>21</v>
      </c>
      <c r="B8">
        <v>5295</v>
      </c>
    </row>
    <row r="9" spans="1:2" x14ac:dyDescent="0.3">
      <c r="A9" s="2" t="s">
        <v>25</v>
      </c>
      <c r="B9">
        <v>4500</v>
      </c>
    </row>
    <row r="10" spans="1:2" x14ac:dyDescent="0.3">
      <c r="A10" s="2" t="s">
        <v>10</v>
      </c>
      <c r="B10">
        <v>3000</v>
      </c>
    </row>
    <row r="11" spans="1:2" x14ac:dyDescent="0.3">
      <c r="A11" s="2" t="s">
        <v>18</v>
      </c>
      <c r="B11">
        <v>3000</v>
      </c>
    </row>
    <row r="12" spans="1:2" x14ac:dyDescent="0.3">
      <c r="A12" s="2" t="s">
        <v>20</v>
      </c>
      <c r="B12">
        <v>2800</v>
      </c>
    </row>
    <row r="13" spans="1:2" x14ac:dyDescent="0.3">
      <c r="A13" s="2" t="s">
        <v>22</v>
      </c>
      <c r="B13">
        <v>2345</v>
      </c>
    </row>
    <row r="14" spans="1:2" x14ac:dyDescent="0.3">
      <c r="A14" s="2" t="s">
        <v>23</v>
      </c>
      <c r="B14">
        <v>2100</v>
      </c>
    </row>
    <row r="15" spans="1:2" x14ac:dyDescent="0.3">
      <c r="A15" s="2" t="s">
        <v>27</v>
      </c>
      <c r="B15">
        <v>2000</v>
      </c>
    </row>
    <row r="16" spans="1:2" x14ac:dyDescent="0.3">
      <c r="A16" s="2" t="s">
        <v>13</v>
      </c>
      <c r="B16">
        <v>1500</v>
      </c>
    </row>
    <row r="17" spans="1:2" x14ac:dyDescent="0.3">
      <c r="A17" s="2" t="s">
        <v>14</v>
      </c>
      <c r="B17">
        <v>1400</v>
      </c>
    </row>
    <row r="18" spans="1:2" x14ac:dyDescent="0.3">
      <c r="A18" s="2" t="s">
        <v>24</v>
      </c>
      <c r="B18">
        <v>1000</v>
      </c>
    </row>
    <row r="19" spans="1:2" x14ac:dyDescent="0.3">
      <c r="A19" s="2" t="s">
        <v>16</v>
      </c>
      <c r="B19">
        <v>1000</v>
      </c>
    </row>
    <row r="20" spans="1:2" x14ac:dyDescent="0.3">
      <c r="A20" s="2" t="s">
        <v>15</v>
      </c>
      <c r="B20">
        <v>500</v>
      </c>
    </row>
    <row r="21" spans="1:2" x14ac:dyDescent="0.3">
      <c r="A21" s="2" t="s">
        <v>17</v>
      </c>
      <c r="B21">
        <v>260</v>
      </c>
    </row>
    <row r="22" spans="1:2" x14ac:dyDescent="0.3">
      <c r="A22" s="2" t="s">
        <v>26</v>
      </c>
      <c r="B22">
        <v>210</v>
      </c>
    </row>
    <row r="23" spans="1:2" x14ac:dyDescent="0.3">
      <c r="A23" s="2" t="s">
        <v>49</v>
      </c>
      <c r="B23">
        <v>460910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64995-E94B-4E69-BCAA-47BBEB935C22}">
  <dimension ref="B2:B21"/>
  <sheetViews>
    <sheetView zoomScale="55" zoomScaleNormal="55" workbookViewId="0">
      <selection activeCell="G2" sqref="G2"/>
    </sheetView>
  </sheetViews>
  <sheetFormatPr defaultRowHeight="14.4" x14ac:dyDescent="0.3"/>
  <cols>
    <col min="1" max="1" width="8.88671875" customWidth="1"/>
  </cols>
  <sheetData>
    <row r="2" spans="2:2" ht="23.4" x14ac:dyDescent="0.45">
      <c r="B2" s="6" t="s">
        <v>52</v>
      </c>
    </row>
    <row r="3" spans="2:2" ht="21" x14ac:dyDescent="0.4">
      <c r="B3" s="5" t="s">
        <v>51</v>
      </c>
    </row>
    <row r="21" spans="2:2" ht="23.4" x14ac:dyDescent="0.45">
      <c r="B21" s="6"/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204BE-422B-42D8-9D70-54EA11E33AD5}">
  <dimension ref="A3:B6"/>
  <sheetViews>
    <sheetView workbookViewId="0">
      <selection activeCell="G5" sqref="G5"/>
    </sheetView>
  </sheetViews>
  <sheetFormatPr defaultRowHeight="14.4" x14ac:dyDescent="0.3"/>
  <cols>
    <col min="1" max="1" width="12.5546875" bestFit="1" customWidth="1"/>
    <col min="2" max="2" width="19.88671875" bestFit="1" customWidth="1"/>
  </cols>
  <sheetData>
    <row r="3" spans="1:2" x14ac:dyDescent="0.3">
      <c r="A3" s="1" t="s">
        <v>48</v>
      </c>
      <c r="B3" t="s">
        <v>50</v>
      </c>
    </row>
    <row r="4" spans="1:2" x14ac:dyDescent="0.3">
      <c r="A4" s="2" t="s">
        <v>104</v>
      </c>
      <c r="B4">
        <v>745350</v>
      </c>
    </row>
    <row r="5" spans="1:2" x14ac:dyDescent="0.3">
      <c r="A5" s="2" t="s">
        <v>105</v>
      </c>
      <c r="B5">
        <v>162900</v>
      </c>
    </row>
    <row r="6" spans="1:2" x14ac:dyDescent="0.3">
      <c r="A6" s="2" t="s">
        <v>49</v>
      </c>
      <c r="B6">
        <v>908250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33333-7694-4E44-B43D-683B33E1C46C}">
  <dimension ref="A3:B37"/>
  <sheetViews>
    <sheetView zoomScale="70" workbookViewId="0">
      <selection activeCell="A33" sqref="A33:B33"/>
      <pivotSelection pane="bottomRight" showHeader="1" extendable="1" axis="axisRow" start="29" max="34" activeRow="32" previousRow="32" click="1" r:id="rId1">
        <pivotArea dataOnly="0" fieldPosition="0">
          <references count="1">
            <reference field="3" count="1">
              <x v="29"/>
            </reference>
          </references>
        </pivotArea>
      </pivotSelection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2" x14ac:dyDescent="0.3">
      <c r="A3" s="1" t="s">
        <v>48</v>
      </c>
      <c r="B3" t="s">
        <v>106</v>
      </c>
    </row>
    <row r="4" spans="1:2" x14ac:dyDescent="0.3">
      <c r="A4" s="2" t="s">
        <v>54</v>
      </c>
      <c r="B4">
        <v>1</v>
      </c>
    </row>
    <row r="5" spans="1:2" x14ac:dyDescent="0.3">
      <c r="A5" s="2" t="s">
        <v>56</v>
      </c>
      <c r="B5">
        <v>1</v>
      </c>
    </row>
    <row r="6" spans="1:2" x14ac:dyDescent="0.3">
      <c r="A6" s="2" t="s">
        <v>24</v>
      </c>
      <c r="B6">
        <v>1</v>
      </c>
    </row>
    <row r="7" spans="1:2" x14ac:dyDescent="0.3">
      <c r="A7" s="2" t="s">
        <v>64</v>
      </c>
      <c r="B7">
        <v>1</v>
      </c>
    </row>
    <row r="8" spans="1:2" x14ac:dyDescent="0.3">
      <c r="A8" s="2" t="s">
        <v>27</v>
      </c>
      <c r="B8">
        <v>1</v>
      </c>
    </row>
    <row r="9" spans="1:2" x14ac:dyDescent="0.3">
      <c r="A9" s="2" t="s">
        <v>57</v>
      </c>
      <c r="B9">
        <v>1</v>
      </c>
    </row>
    <row r="10" spans="1:2" x14ac:dyDescent="0.3">
      <c r="A10" s="2" t="s">
        <v>70</v>
      </c>
      <c r="B10">
        <v>1</v>
      </c>
    </row>
    <row r="11" spans="1:2" x14ac:dyDescent="0.3">
      <c r="A11" s="2" t="s">
        <v>13</v>
      </c>
      <c r="B11">
        <v>1</v>
      </c>
    </row>
    <row r="12" spans="1:2" x14ac:dyDescent="0.3">
      <c r="A12" s="2" t="s">
        <v>22</v>
      </c>
      <c r="B12">
        <v>1</v>
      </c>
    </row>
    <row r="13" spans="1:2" x14ac:dyDescent="0.3">
      <c r="A13" s="2" t="s">
        <v>26</v>
      </c>
      <c r="B13">
        <v>1</v>
      </c>
    </row>
    <row r="14" spans="1:2" x14ac:dyDescent="0.3">
      <c r="A14" s="8" t="s">
        <v>15</v>
      </c>
      <c r="B14" s="9">
        <v>2</v>
      </c>
    </row>
    <row r="15" spans="1:2" x14ac:dyDescent="0.3">
      <c r="A15" s="2" t="s">
        <v>14</v>
      </c>
      <c r="B15">
        <v>1</v>
      </c>
    </row>
    <row r="16" spans="1:2" x14ac:dyDescent="0.3">
      <c r="A16" s="2" t="s">
        <v>69</v>
      </c>
      <c r="B16">
        <v>1</v>
      </c>
    </row>
    <row r="17" spans="1:2" x14ac:dyDescent="0.3">
      <c r="A17" s="8" t="s">
        <v>25</v>
      </c>
      <c r="B17" s="9">
        <v>2</v>
      </c>
    </row>
    <row r="18" spans="1:2" x14ac:dyDescent="0.3">
      <c r="A18" s="8" t="s">
        <v>19</v>
      </c>
      <c r="B18" s="9">
        <v>2</v>
      </c>
    </row>
    <row r="19" spans="1:2" x14ac:dyDescent="0.3">
      <c r="A19" s="8" t="s">
        <v>16</v>
      </c>
      <c r="B19" s="9">
        <v>2</v>
      </c>
    </row>
    <row r="20" spans="1:2" x14ac:dyDescent="0.3">
      <c r="A20" s="2" t="s">
        <v>17</v>
      </c>
      <c r="B20">
        <v>1</v>
      </c>
    </row>
    <row r="21" spans="1:2" x14ac:dyDescent="0.3">
      <c r="A21" s="2" t="s">
        <v>18</v>
      </c>
      <c r="B21">
        <v>1</v>
      </c>
    </row>
    <row r="22" spans="1:2" x14ac:dyDescent="0.3">
      <c r="A22" s="2" t="s">
        <v>67</v>
      </c>
      <c r="B22">
        <v>1</v>
      </c>
    </row>
    <row r="23" spans="1:2" x14ac:dyDescent="0.3">
      <c r="A23" s="2" t="s">
        <v>65</v>
      </c>
      <c r="B23">
        <v>1</v>
      </c>
    </row>
    <row r="24" spans="1:2" x14ac:dyDescent="0.3">
      <c r="A24" s="2" t="s">
        <v>23</v>
      </c>
      <c r="B24">
        <v>1</v>
      </c>
    </row>
    <row r="25" spans="1:2" x14ac:dyDescent="0.3">
      <c r="A25" s="2" t="s">
        <v>12</v>
      </c>
      <c r="B25">
        <v>1</v>
      </c>
    </row>
    <row r="26" spans="1:2" x14ac:dyDescent="0.3">
      <c r="A26" s="2" t="s">
        <v>20</v>
      </c>
      <c r="B26">
        <v>1</v>
      </c>
    </row>
    <row r="27" spans="1:2" x14ac:dyDescent="0.3">
      <c r="A27" s="8" t="s">
        <v>11</v>
      </c>
      <c r="B27" s="9">
        <v>2</v>
      </c>
    </row>
    <row r="28" spans="1:2" x14ac:dyDescent="0.3">
      <c r="A28" s="2" t="s">
        <v>10</v>
      </c>
      <c r="B28">
        <v>1</v>
      </c>
    </row>
    <row r="29" spans="1:2" x14ac:dyDescent="0.3">
      <c r="A29" s="2" t="s">
        <v>68</v>
      </c>
      <c r="B29">
        <v>1</v>
      </c>
    </row>
    <row r="30" spans="1:2" x14ac:dyDescent="0.3">
      <c r="A30" s="2" t="s">
        <v>58</v>
      </c>
      <c r="B30">
        <v>1</v>
      </c>
    </row>
    <row r="31" spans="1:2" x14ac:dyDescent="0.3">
      <c r="A31" s="8" t="s">
        <v>21</v>
      </c>
      <c r="B31" s="9">
        <v>3</v>
      </c>
    </row>
    <row r="32" spans="1:2" x14ac:dyDescent="0.3">
      <c r="A32" s="2" t="s">
        <v>62</v>
      </c>
      <c r="B32">
        <v>1</v>
      </c>
    </row>
    <row r="33" spans="1:2" x14ac:dyDescent="0.3">
      <c r="A33" s="8" t="s">
        <v>9</v>
      </c>
      <c r="B33" s="9">
        <v>2</v>
      </c>
    </row>
    <row r="34" spans="1:2" x14ac:dyDescent="0.3">
      <c r="A34" s="2" t="s">
        <v>66</v>
      </c>
      <c r="B34">
        <v>1</v>
      </c>
    </row>
    <row r="35" spans="1:2" x14ac:dyDescent="0.3">
      <c r="A35" s="2" t="s">
        <v>63</v>
      </c>
      <c r="B35">
        <v>1</v>
      </c>
    </row>
    <row r="36" spans="1:2" x14ac:dyDescent="0.3">
      <c r="A36" s="2" t="s">
        <v>55</v>
      </c>
      <c r="B36">
        <v>1</v>
      </c>
    </row>
    <row r="37" spans="1:2" x14ac:dyDescent="0.3">
      <c r="A37" s="2" t="s">
        <v>49</v>
      </c>
      <c r="B37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6D26A-575F-4A6B-9C6D-858A1AA0E679}">
  <dimension ref="A1:K43"/>
  <sheetViews>
    <sheetView tabSelected="1" zoomScale="50" workbookViewId="0">
      <selection activeCell="F53" sqref="F53"/>
    </sheetView>
  </sheetViews>
  <sheetFormatPr defaultRowHeight="14.4" x14ac:dyDescent="0.3"/>
  <cols>
    <col min="1" max="1" width="14.6640625" style="3" customWidth="1"/>
    <col min="2" max="3" width="14.21875" style="3" customWidth="1"/>
    <col min="4" max="4" width="15.44140625" style="3" customWidth="1"/>
    <col min="5" max="5" width="14.88671875" style="3" customWidth="1"/>
    <col min="6" max="6" width="17.88671875" style="3" customWidth="1"/>
    <col min="7" max="7" width="17" style="3" customWidth="1"/>
    <col min="8" max="8" width="8.88671875" style="3"/>
    <col min="9" max="9" width="13.88671875" style="3" customWidth="1"/>
    <col min="10" max="10" width="18.77734375" style="3" customWidth="1"/>
    <col min="11" max="11" width="17.5546875" style="3" customWidth="1"/>
    <col min="12" max="16384" width="8.88671875" style="3"/>
  </cols>
  <sheetData>
    <row r="1" spans="1:11" x14ac:dyDescent="0.3">
      <c r="A1" s="3" t="s">
        <v>0</v>
      </c>
      <c r="B1" s="3" t="s">
        <v>1</v>
      </c>
      <c r="C1" s="3" t="s">
        <v>53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47</v>
      </c>
    </row>
    <row r="2" spans="1:11" x14ac:dyDescent="0.3">
      <c r="A2" s="3">
        <v>1</v>
      </c>
      <c r="B2" s="4">
        <v>45292</v>
      </c>
      <c r="C2" s="4" t="str">
        <f>TEXT(B2,"mmm")</f>
        <v>Jan</v>
      </c>
      <c r="D2" s="3" t="s">
        <v>9</v>
      </c>
      <c r="E2" s="3" t="s">
        <v>41</v>
      </c>
      <c r="F2" s="3" t="s">
        <v>28</v>
      </c>
      <c r="G2" s="3" t="s">
        <v>31</v>
      </c>
      <c r="H2" s="3">
        <v>2</v>
      </c>
      <c r="I2" s="3">
        <v>20000</v>
      </c>
      <c r="J2" s="3" t="s">
        <v>38</v>
      </c>
      <c r="K2" s="3">
        <f>H2*I2</f>
        <v>40000</v>
      </c>
    </row>
    <row r="3" spans="1:11" x14ac:dyDescent="0.3">
      <c r="A3" s="3">
        <v>2</v>
      </c>
      <c r="B3" s="4">
        <v>45293</v>
      </c>
      <c r="C3" s="4" t="str">
        <f t="shared" ref="C3:C42" si="0">TEXT(B3,"mmm")</f>
        <v>Jan</v>
      </c>
      <c r="D3" s="3" t="s">
        <v>10</v>
      </c>
      <c r="E3" s="3" t="s">
        <v>42</v>
      </c>
      <c r="F3" s="3" t="s">
        <v>29</v>
      </c>
      <c r="G3" s="3" t="s">
        <v>33</v>
      </c>
      <c r="H3" s="3">
        <v>3</v>
      </c>
      <c r="I3" s="3">
        <v>1000</v>
      </c>
      <c r="J3" s="3" t="s">
        <v>38</v>
      </c>
      <c r="K3" s="3">
        <f t="shared" ref="K3:K42" si="1">H3*I3</f>
        <v>3000</v>
      </c>
    </row>
    <row r="4" spans="1:11" x14ac:dyDescent="0.3">
      <c r="A4" s="3">
        <v>3</v>
      </c>
      <c r="B4" s="4">
        <v>45294</v>
      </c>
      <c r="C4" s="4" t="str">
        <f t="shared" si="0"/>
        <v>Jan</v>
      </c>
      <c r="D4" s="3" t="s">
        <v>11</v>
      </c>
      <c r="E4" s="3" t="s">
        <v>41</v>
      </c>
      <c r="F4" s="3" t="s">
        <v>28</v>
      </c>
      <c r="G4" s="3" t="s">
        <v>31</v>
      </c>
      <c r="H4" s="3">
        <v>4</v>
      </c>
      <c r="I4" s="3">
        <v>20000</v>
      </c>
      <c r="J4" s="3" t="s">
        <v>38</v>
      </c>
      <c r="K4" s="3">
        <f t="shared" si="1"/>
        <v>80000</v>
      </c>
    </row>
    <row r="5" spans="1:11" x14ac:dyDescent="0.3">
      <c r="A5" s="3">
        <v>4</v>
      </c>
      <c r="B5" s="4">
        <v>45295</v>
      </c>
      <c r="C5" s="4" t="str">
        <f t="shared" si="0"/>
        <v>Jan</v>
      </c>
      <c r="D5" s="3" t="s">
        <v>12</v>
      </c>
      <c r="E5" s="3" t="s">
        <v>42</v>
      </c>
      <c r="F5" s="3" t="s">
        <v>28</v>
      </c>
      <c r="G5" s="3" t="s">
        <v>32</v>
      </c>
      <c r="H5" s="3">
        <v>2</v>
      </c>
      <c r="I5" s="3">
        <v>30000</v>
      </c>
      <c r="J5" s="3" t="s">
        <v>38</v>
      </c>
      <c r="K5" s="3">
        <f t="shared" si="1"/>
        <v>60000</v>
      </c>
    </row>
    <row r="6" spans="1:11" x14ac:dyDescent="0.3">
      <c r="A6" s="3">
        <v>5</v>
      </c>
      <c r="B6" s="4">
        <v>45296</v>
      </c>
      <c r="C6" s="4" t="str">
        <f t="shared" si="0"/>
        <v>Jan</v>
      </c>
      <c r="D6" s="3" t="s">
        <v>13</v>
      </c>
      <c r="E6" s="3" t="s">
        <v>43</v>
      </c>
      <c r="F6" s="3" t="s">
        <v>30</v>
      </c>
      <c r="G6" s="3" t="s">
        <v>34</v>
      </c>
      <c r="H6" s="3">
        <v>3</v>
      </c>
      <c r="I6" s="3">
        <v>500</v>
      </c>
      <c r="J6" s="3" t="s">
        <v>39</v>
      </c>
      <c r="K6" s="3">
        <f t="shared" si="1"/>
        <v>1500</v>
      </c>
    </row>
    <row r="7" spans="1:11" x14ac:dyDescent="0.3">
      <c r="A7" s="3">
        <v>6</v>
      </c>
      <c r="B7" s="4">
        <v>45297</v>
      </c>
      <c r="C7" s="4" t="str">
        <f t="shared" si="0"/>
        <v>Jan</v>
      </c>
      <c r="D7" s="3" t="s">
        <v>14</v>
      </c>
      <c r="E7" s="3" t="s">
        <v>44</v>
      </c>
      <c r="F7" s="3" t="s">
        <v>29</v>
      </c>
      <c r="G7" s="3" t="s">
        <v>40</v>
      </c>
      <c r="H7" s="3">
        <v>4</v>
      </c>
      <c r="I7" s="3">
        <v>350</v>
      </c>
      <c r="J7" s="3" t="s">
        <v>39</v>
      </c>
      <c r="K7" s="3">
        <f t="shared" si="1"/>
        <v>1400</v>
      </c>
    </row>
    <row r="8" spans="1:11" x14ac:dyDescent="0.3">
      <c r="A8" s="3">
        <v>7</v>
      </c>
      <c r="B8" s="4">
        <v>45298</v>
      </c>
      <c r="C8" s="4" t="str">
        <f t="shared" si="0"/>
        <v>Jan</v>
      </c>
      <c r="D8" s="3" t="s">
        <v>15</v>
      </c>
      <c r="E8" s="3" t="s">
        <v>44</v>
      </c>
      <c r="F8" s="3" t="s">
        <v>30</v>
      </c>
      <c r="G8" s="3" t="s">
        <v>35</v>
      </c>
      <c r="H8" s="3">
        <v>1</v>
      </c>
      <c r="I8" s="3">
        <v>500</v>
      </c>
      <c r="J8" s="3" t="s">
        <v>39</v>
      </c>
      <c r="K8" s="3">
        <f t="shared" si="1"/>
        <v>500</v>
      </c>
    </row>
    <row r="9" spans="1:11" x14ac:dyDescent="0.3">
      <c r="A9" s="3">
        <v>8</v>
      </c>
      <c r="B9" s="4">
        <v>45299</v>
      </c>
      <c r="C9" s="4" t="str">
        <f t="shared" si="0"/>
        <v>Jan</v>
      </c>
      <c r="D9" s="3" t="s">
        <v>16</v>
      </c>
      <c r="E9" s="3" t="s">
        <v>44</v>
      </c>
      <c r="F9" s="3" t="s">
        <v>30</v>
      </c>
      <c r="G9" s="3" t="s">
        <v>34</v>
      </c>
      <c r="H9" s="3">
        <v>2</v>
      </c>
      <c r="I9" s="3">
        <v>500</v>
      </c>
      <c r="J9" s="3" t="s">
        <v>39</v>
      </c>
      <c r="K9" s="3">
        <f t="shared" si="1"/>
        <v>1000</v>
      </c>
    </row>
    <row r="10" spans="1:11" x14ac:dyDescent="0.3">
      <c r="A10" s="3">
        <v>9</v>
      </c>
      <c r="B10" s="4">
        <v>45300</v>
      </c>
      <c r="C10" s="4" t="str">
        <f t="shared" si="0"/>
        <v>Jan</v>
      </c>
      <c r="D10" s="3" t="s">
        <v>17</v>
      </c>
      <c r="E10" s="3" t="s">
        <v>42</v>
      </c>
      <c r="F10" s="3" t="s">
        <v>29</v>
      </c>
      <c r="G10" s="3" t="s">
        <v>36</v>
      </c>
      <c r="H10" s="3">
        <v>4</v>
      </c>
      <c r="I10" s="3">
        <v>65</v>
      </c>
      <c r="J10" s="3" t="s">
        <v>38</v>
      </c>
      <c r="K10" s="3">
        <f t="shared" si="1"/>
        <v>260</v>
      </c>
    </row>
    <row r="11" spans="1:11" x14ac:dyDescent="0.3">
      <c r="A11" s="3">
        <v>10</v>
      </c>
      <c r="B11" s="4">
        <v>45301</v>
      </c>
      <c r="C11" s="4" t="str">
        <f t="shared" si="0"/>
        <v>Jan</v>
      </c>
      <c r="D11" s="3" t="s">
        <v>18</v>
      </c>
      <c r="E11" s="3" t="s">
        <v>41</v>
      </c>
      <c r="F11" s="3" t="s">
        <v>28</v>
      </c>
      <c r="G11" s="3" t="s">
        <v>37</v>
      </c>
      <c r="H11" s="3">
        <v>2</v>
      </c>
      <c r="I11" s="3">
        <v>1500</v>
      </c>
      <c r="J11" s="3" t="s">
        <v>39</v>
      </c>
      <c r="K11" s="3">
        <f t="shared" si="1"/>
        <v>3000</v>
      </c>
    </row>
    <row r="12" spans="1:11" x14ac:dyDescent="0.3">
      <c r="A12" s="3">
        <v>11</v>
      </c>
      <c r="B12" s="4">
        <v>45302</v>
      </c>
      <c r="C12" s="4" t="str">
        <f t="shared" si="0"/>
        <v>Jan</v>
      </c>
      <c r="D12" s="3" t="s">
        <v>19</v>
      </c>
      <c r="E12" s="3" t="s">
        <v>43</v>
      </c>
      <c r="F12" s="3" t="s">
        <v>28</v>
      </c>
      <c r="G12" s="3" t="s">
        <v>31</v>
      </c>
      <c r="H12" s="3">
        <v>5</v>
      </c>
      <c r="I12" s="3">
        <v>50000</v>
      </c>
      <c r="J12" s="3" t="s">
        <v>38</v>
      </c>
      <c r="K12" s="3">
        <f t="shared" si="1"/>
        <v>250000</v>
      </c>
    </row>
    <row r="13" spans="1:11" x14ac:dyDescent="0.3">
      <c r="A13" s="3">
        <v>12</v>
      </c>
      <c r="B13" s="4">
        <v>45303</v>
      </c>
      <c r="C13" s="4" t="str">
        <f t="shared" si="0"/>
        <v>Jan</v>
      </c>
      <c r="D13" s="3" t="s">
        <v>20</v>
      </c>
      <c r="E13" s="3" t="s">
        <v>42</v>
      </c>
      <c r="F13" s="3" t="s">
        <v>29</v>
      </c>
      <c r="G13" s="3" t="s">
        <v>33</v>
      </c>
      <c r="H13" s="3">
        <v>4</v>
      </c>
      <c r="I13" s="3">
        <v>700</v>
      </c>
      <c r="J13" s="3" t="s">
        <v>38</v>
      </c>
      <c r="K13" s="3">
        <f t="shared" si="1"/>
        <v>2800</v>
      </c>
    </row>
    <row r="14" spans="1:11" x14ac:dyDescent="0.3">
      <c r="A14" s="3">
        <v>13</v>
      </c>
      <c r="B14" s="4">
        <v>45304</v>
      </c>
      <c r="C14" s="4" t="str">
        <f t="shared" si="0"/>
        <v>Jan</v>
      </c>
      <c r="D14" s="3" t="s">
        <v>21</v>
      </c>
      <c r="E14" s="3" t="s">
        <v>44</v>
      </c>
      <c r="F14" s="3" t="s">
        <v>29</v>
      </c>
      <c r="G14" s="3" t="s">
        <v>40</v>
      </c>
      <c r="H14" s="3">
        <v>5</v>
      </c>
      <c r="I14" s="3">
        <v>789</v>
      </c>
      <c r="J14" s="3" t="s">
        <v>38</v>
      </c>
      <c r="K14" s="3">
        <f t="shared" si="1"/>
        <v>3945</v>
      </c>
    </row>
    <row r="15" spans="1:11" x14ac:dyDescent="0.3">
      <c r="A15" s="3">
        <v>14</v>
      </c>
      <c r="B15" s="4">
        <v>45305</v>
      </c>
      <c r="C15" s="4" t="str">
        <f t="shared" si="0"/>
        <v>Jan</v>
      </c>
      <c r="D15" s="3" t="s">
        <v>21</v>
      </c>
      <c r="E15" s="3" t="s">
        <v>45</v>
      </c>
      <c r="F15" s="3" t="s">
        <v>30</v>
      </c>
      <c r="G15" s="3" t="s">
        <v>34</v>
      </c>
      <c r="H15" s="3">
        <v>3</v>
      </c>
      <c r="I15" s="3">
        <v>450</v>
      </c>
      <c r="J15" s="3" t="s">
        <v>38</v>
      </c>
      <c r="K15" s="3">
        <f t="shared" si="1"/>
        <v>1350</v>
      </c>
    </row>
    <row r="16" spans="1:11" x14ac:dyDescent="0.3">
      <c r="A16" s="3">
        <v>15</v>
      </c>
      <c r="B16" s="4">
        <v>45306</v>
      </c>
      <c r="C16" s="4" t="str">
        <f t="shared" si="0"/>
        <v>Jan</v>
      </c>
      <c r="D16" s="3" t="s">
        <v>22</v>
      </c>
      <c r="E16" s="3" t="s">
        <v>44</v>
      </c>
      <c r="F16" s="3" t="s">
        <v>30</v>
      </c>
      <c r="G16" s="3" t="s">
        <v>34</v>
      </c>
      <c r="H16" s="3">
        <v>1</v>
      </c>
      <c r="I16" s="3">
        <v>2345</v>
      </c>
      <c r="J16" s="3" t="s">
        <v>38</v>
      </c>
      <c r="K16" s="3">
        <f t="shared" si="1"/>
        <v>2345</v>
      </c>
    </row>
    <row r="17" spans="1:11" x14ac:dyDescent="0.3">
      <c r="A17" s="3">
        <v>16</v>
      </c>
      <c r="B17" s="4">
        <v>45307</v>
      </c>
      <c r="C17" s="4" t="str">
        <f t="shared" si="0"/>
        <v>Jan</v>
      </c>
      <c r="D17" s="3" t="s">
        <v>23</v>
      </c>
      <c r="E17" s="3" t="s">
        <v>41</v>
      </c>
      <c r="F17" s="3" t="s">
        <v>29</v>
      </c>
      <c r="G17" s="3" t="s">
        <v>33</v>
      </c>
      <c r="H17" s="3">
        <v>3</v>
      </c>
      <c r="I17" s="3">
        <v>700</v>
      </c>
      <c r="J17" s="3" t="s">
        <v>38</v>
      </c>
      <c r="K17" s="3">
        <f t="shared" si="1"/>
        <v>2100</v>
      </c>
    </row>
    <row r="18" spans="1:11" x14ac:dyDescent="0.3">
      <c r="A18" s="3">
        <v>17</v>
      </c>
      <c r="B18" s="4">
        <v>45308</v>
      </c>
      <c r="C18" s="4" t="str">
        <f t="shared" si="0"/>
        <v>Jan</v>
      </c>
      <c r="D18" s="3" t="s">
        <v>24</v>
      </c>
      <c r="E18" s="3" t="s">
        <v>44</v>
      </c>
      <c r="F18" s="3" t="s">
        <v>30</v>
      </c>
      <c r="G18" s="3" t="s">
        <v>35</v>
      </c>
      <c r="H18" s="3">
        <v>2</v>
      </c>
      <c r="I18" s="3">
        <v>500</v>
      </c>
      <c r="J18" s="3" t="s">
        <v>38</v>
      </c>
      <c r="K18" s="3">
        <f t="shared" si="1"/>
        <v>1000</v>
      </c>
    </row>
    <row r="19" spans="1:11" x14ac:dyDescent="0.3">
      <c r="A19" s="3">
        <v>18</v>
      </c>
      <c r="B19" s="4">
        <v>45309</v>
      </c>
      <c r="C19" s="4" t="str">
        <f t="shared" si="0"/>
        <v>Jan</v>
      </c>
      <c r="D19" s="3" t="s">
        <v>25</v>
      </c>
      <c r="E19" s="3" t="s">
        <v>46</v>
      </c>
      <c r="F19" s="3" t="s">
        <v>28</v>
      </c>
      <c r="G19" s="3" t="s">
        <v>37</v>
      </c>
      <c r="H19" s="3">
        <v>3</v>
      </c>
      <c r="I19" s="3">
        <v>1500</v>
      </c>
      <c r="J19" s="3" t="s">
        <v>38</v>
      </c>
      <c r="K19" s="3">
        <f t="shared" si="1"/>
        <v>4500</v>
      </c>
    </row>
    <row r="20" spans="1:11" x14ac:dyDescent="0.3">
      <c r="A20" s="3">
        <v>19</v>
      </c>
      <c r="B20" s="4">
        <v>45310</v>
      </c>
      <c r="C20" s="4" t="str">
        <f t="shared" si="0"/>
        <v>Jan</v>
      </c>
      <c r="D20" s="3" t="s">
        <v>26</v>
      </c>
      <c r="E20" s="3" t="s">
        <v>44</v>
      </c>
      <c r="F20" s="3" t="s">
        <v>29</v>
      </c>
      <c r="G20" s="3" t="s">
        <v>36</v>
      </c>
      <c r="H20" s="3">
        <v>3</v>
      </c>
      <c r="I20" s="3">
        <v>70</v>
      </c>
      <c r="J20" s="3" t="s">
        <v>38</v>
      </c>
      <c r="K20" s="3">
        <f t="shared" si="1"/>
        <v>210</v>
      </c>
    </row>
    <row r="21" spans="1:11" x14ac:dyDescent="0.3">
      <c r="A21" s="3">
        <v>20</v>
      </c>
      <c r="B21" s="4">
        <v>45311</v>
      </c>
      <c r="C21" s="4" t="str">
        <f t="shared" si="0"/>
        <v>Jan</v>
      </c>
      <c r="D21" s="3" t="s">
        <v>27</v>
      </c>
      <c r="E21" s="3" t="s">
        <v>41</v>
      </c>
      <c r="F21" s="3" t="s">
        <v>30</v>
      </c>
      <c r="G21" s="3" t="s">
        <v>34</v>
      </c>
      <c r="H21" s="3">
        <v>4</v>
      </c>
      <c r="I21" s="3">
        <v>500</v>
      </c>
      <c r="J21" s="3" t="s">
        <v>38</v>
      </c>
      <c r="K21" s="3">
        <f t="shared" si="1"/>
        <v>2000</v>
      </c>
    </row>
    <row r="22" spans="1:11" x14ac:dyDescent="0.3">
      <c r="A22" s="3">
        <v>21</v>
      </c>
      <c r="B22" s="4">
        <v>45312</v>
      </c>
      <c r="C22" s="4" t="str">
        <f t="shared" si="0"/>
        <v>Jan</v>
      </c>
      <c r="D22" s="3" t="s">
        <v>54</v>
      </c>
      <c r="E22" s="3" t="s">
        <v>43</v>
      </c>
      <c r="F22" s="3" t="s">
        <v>28</v>
      </c>
      <c r="G22" s="3" t="s">
        <v>31</v>
      </c>
      <c r="H22" s="3">
        <v>1</v>
      </c>
      <c r="I22" s="3">
        <v>75000</v>
      </c>
      <c r="J22" s="3" t="s">
        <v>100</v>
      </c>
      <c r="K22" s="3">
        <f t="shared" si="1"/>
        <v>75000</v>
      </c>
    </row>
    <row r="23" spans="1:11" x14ac:dyDescent="0.3">
      <c r="A23" s="3">
        <v>22</v>
      </c>
      <c r="B23" s="4">
        <v>45313</v>
      </c>
      <c r="C23" s="4" t="str">
        <f t="shared" si="0"/>
        <v>Jan</v>
      </c>
      <c r="D23" s="3" t="s">
        <v>55</v>
      </c>
      <c r="E23" s="3" t="s">
        <v>42</v>
      </c>
      <c r="F23" s="3" t="s">
        <v>28</v>
      </c>
      <c r="G23" s="3" t="s">
        <v>93</v>
      </c>
      <c r="H23" s="3">
        <v>2</v>
      </c>
      <c r="I23" s="3">
        <v>30000</v>
      </c>
      <c r="J23" s="3" t="s">
        <v>101</v>
      </c>
      <c r="K23" s="3">
        <f t="shared" si="1"/>
        <v>60000</v>
      </c>
    </row>
    <row r="24" spans="1:11" x14ac:dyDescent="0.3">
      <c r="A24" s="3">
        <v>23</v>
      </c>
      <c r="B24" s="4">
        <v>45314</v>
      </c>
      <c r="C24" s="4" t="str">
        <f t="shared" si="0"/>
        <v>Jan</v>
      </c>
      <c r="D24" s="3" t="s">
        <v>56</v>
      </c>
      <c r="E24" s="3" t="s">
        <v>75</v>
      </c>
      <c r="F24" s="3" t="s">
        <v>30</v>
      </c>
      <c r="G24" s="3" t="s">
        <v>94</v>
      </c>
      <c r="H24" s="3">
        <v>3</v>
      </c>
      <c r="I24" s="3">
        <v>500</v>
      </c>
      <c r="J24" s="3" t="s">
        <v>102</v>
      </c>
      <c r="K24" s="3">
        <f t="shared" si="1"/>
        <v>1500</v>
      </c>
    </row>
    <row r="25" spans="1:11" x14ac:dyDescent="0.3">
      <c r="A25" s="3">
        <v>24</v>
      </c>
      <c r="B25" s="4">
        <v>45315</v>
      </c>
      <c r="C25" s="4" t="str">
        <f t="shared" si="0"/>
        <v>Jan</v>
      </c>
      <c r="D25" s="3" t="s">
        <v>57</v>
      </c>
      <c r="E25" s="3" t="s">
        <v>44</v>
      </c>
      <c r="F25" s="3" t="s">
        <v>29</v>
      </c>
      <c r="G25" s="3" t="s">
        <v>95</v>
      </c>
      <c r="H25" s="3">
        <v>5</v>
      </c>
      <c r="I25" s="3">
        <v>60</v>
      </c>
      <c r="J25" s="3" t="s">
        <v>103</v>
      </c>
      <c r="K25" s="3">
        <f t="shared" si="1"/>
        <v>300</v>
      </c>
    </row>
    <row r="26" spans="1:11" x14ac:dyDescent="0.3">
      <c r="A26" s="3">
        <v>25</v>
      </c>
      <c r="B26" s="4">
        <v>45316</v>
      </c>
      <c r="C26" s="4" t="str">
        <f t="shared" si="0"/>
        <v>Jan</v>
      </c>
      <c r="D26" s="3" t="s">
        <v>58</v>
      </c>
      <c r="E26" s="3" t="s">
        <v>76</v>
      </c>
      <c r="F26" s="3" t="s">
        <v>28</v>
      </c>
      <c r="G26" s="3" t="s">
        <v>96</v>
      </c>
      <c r="H26" s="3">
        <v>2</v>
      </c>
      <c r="I26" s="3">
        <v>2500</v>
      </c>
      <c r="J26" s="3" t="s">
        <v>100</v>
      </c>
      <c r="K26" s="3">
        <f t="shared" si="1"/>
        <v>5000</v>
      </c>
    </row>
    <row r="27" spans="1:11" x14ac:dyDescent="0.3">
      <c r="A27" s="3">
        <v>26</v>
      </c>
      <c r="B27" s="4">
        <v>45317</v>
      </c>
      <c r="C27" s="4" t="str">
        <f t="shared" si="0"/>
        <v>Jan</v>
      </c>
      <c r="D27" s="3" t="s">
        <v>59</v>
      </c>
      <c r="E27" s="3" t="s">
        <v>77</v>
      </c>
      <c r="F27" s="3" t="s">
        <v>30</v>
      </c>
      <c r="G27" s="3" t="s">
        <v>97</v>
      </c>
      <c r="H27" s="3">
        <v>4</v>
      </c>
      <c r="I27" s="3">
        <v>1200</v>
      </c>
      <c r="J27" s="3" t="s">
        <v>101</v>
      </c>
      <c r="K27" s="3">
        <f t="shared" si="1"/>
        <v>4800</v>
      </c>
    </row>
    <row r="28" spans="1:11" x14ac:dyDescent="0.3">
      <c r="A28" s="3">
        <v>27</v>
      </c>
      <c r="B28" s="4">
        <v>45318</v>
      </c>
      <c r="C28" s="4" t="str">
        <f t="shared" si="0"/>
        <v>Jan</v>
      </c>
      <c r="D28" s="3" t="s">
        <v>60</v>
      </c>
      <c r="E28" s="3" t="s">
        <v>78</v>
      </c>
      <c r="F28" s="3" t="s">
        <v>29</v>
      </c>
      <c r="G28" s="3" t="s">
        <v>98</v>
      </c>
      <c r="H28" s="3">
        <v>6</v>
      </c>
      <c r="I28" s="3">
        <v>45</v>
      </c>
      <c r="J28" s="3" t="s">
        <v>102</v>
      </c>
      <c r="K28" s="3">
        <f t="shared" si="1"/>
        <v>270</v>
      </c>
    </row>
    <row r="29" spans="1:11" x14ac:dyDescent="0.3">
      <c r="A29" s="3">
        <v>28</v>
      </c>
      <c r="B29" s="4">
        <v>45319</v>
      </c>
      <c r="C29" s="4" t="str">
        <f t="shared" si="0"/>
        <v>Jan</v>
      </c>
      <c r="D29" s="3" t="s">
        <v>61</v>
      </c>
      <c r="E29" s="3" t="s">
        <v>79</v>
      </c>
      <c r="F29" s="3" t="s">
        <v>28</v>
      </c>
      <c r="G29" s="3" t="s">
        <v>31</v>
      </c>
      <c r="H29" s="3">
        <v>1</v>
      </c>
      <c r="I29" s="3">
        <v>80000</v>
      </c>
      <c r="J29" s="3" t="s">
        <v>100</v>
      </c>
      <c r="K29" s="3">
        <f t="shared" si="1"/>
        <v>80000</v>
      </c>
    </row>
    <row r="30" spans="1:11" x14ac:dyDescent="0.3">
      <c r="A30" s="3">
        <v>29</v>
      </c>
      <c r="B30" s="4">
        <v>45320</v>
      </c>
      <c r="C30" s="4" t="str">
        <f t="shared" si="0"/>
        <v>Jan</v>
      </c>
      <c r="D30" s="3" t="s">
        <v>62</v>
      </c>
      <c r="E30" s="3" t="s">
        <v>80</v>
      </c>
      <c r="F30" s="3" t="s">
        <v>30</v>
      </c>
      <c r="G30" s="3" t="s">
        <v>93</v>
      </c>
      <c r="H30" s="3">
        <v>2</v>
      </c>
      <c r="I30" s="3">
        <v>28000</v>
      </c>
      <c r="J30" s="3" t="s">
        <v>103</v>
      </c>
      <c r="K30" s="3">
        <f t="shared" si="1"/>
        <v>56000</v>
      </c>
    </row>
    <row r="31" spans="1:11" x14ac:dyDescent="0.3">
      <c r="A31" s="3">
        <v>30</v>
      </c>
      <c r="B31" s="4">
        <v>45321</v>
      </c>
      <c r="C31" s="4" t="str">
        <f t="shared" si="0"/>
        <v>Jan</v>
      </c>
      <c r="D31" s="3" t="s">
        <v>63</v>
      </c>
      <c r="E31" s="3" t="s">
        <v>81</v>
      </c>
      <c r="F31" s="3" t="s">
        <v>29</v>
      </c>
      <c r="G31" s="3" t="s">
        <v>94</v>
      </c>
      <c r="H31" s="3">
        <v>3</v>
      </c>
      <c r="I31" s="3">
        <v>450</v>
      </c>
      <c r="J31" s="3" t="s">
        <v>101</v>
      </c>
      <c r="K31" s="3">
        <f t="shared" si="1"/>
        <v>1350</v>
      </c>
    </row>
    <row r="32" spans="1:11" x14ac:dyDescent="0.3">
      <c r="A32" s="3">
        <v>31</v>
      </c>
      <c r="B32" s="4">
        <v>45322</v>
      </c>
      <c r="C32" s="4" t="str">
        <f t="shared" si="0"/>
        <v>Jan</v>
      </c>
      <c r="D32" s="3" t="s">
        <v>64</v>
      </c>
      <c r="E32" s="3" t="s">
        <v>82</v>
      </c>
      <c r="F32" s="3" t="s">
        <v>28</v>
      </c>
      <c r="G32" s="3" t="s">
        <v>95</v>
      </c>
      <c r="H32" s="3">
        <v>4</v>
      </c>
      <c r="I32" s="3">
        <v>55</v>
      </c>
      <c r="J32" s="3" t="s">
        <v>102</v>
      </c>
      <c r="K32" s="3">
        <f t="shared" si="1"/>
        <v>220</v>
      </c>
    </row>
    <row r="33" spans="1:11" x14ac:dyDescent="0.3">
      <c r="A33" s="3">
        <v>32</v>
      </c>
      <c r="B33" s="4">
        <v>45323</v>
      </c>
      <c r="C33" s="4" t="str">
        <f t="shared" si="0"/>
        <v>Feb</v>
      </c>
      <c r="D33" s="3" t="s">
        <v>65</v>
      </c>
      <c r="E33" s="3" t="s">
        <v>83</v>
      </c>
      <c r="F33" s="3" t="s">
        <v>30</v>
      </c>
      <c r="G33" s="3" t="s">
        <v>96</v>
      </c>
      <c r="H33" s="3">
        <v>2</v>
      </c>
      <c r="I33" s="3">
        <v>2200</v>
      </c>
      <c r="J33" s="3" t="s">
        <v>100</v>
      </c>
      <c r="K33" s="3">
        <f t="shared" si="1"/>
        <v>4400</v>
      </c>
    </row>
    <row r="34" spans="1:11" x14ac:dyDescent="0.3">
      <c r="A34" s="3">
        <v>33</v>
      </c>
      <c r="B34" s="4">
        <v>45324</v>
      </c>
      <c r="C34" s="4" t="str">
        <f t="shared" si="0"/>
        <v>Feb</v>
      </c>
      <c r="D34" s="3" t="s">
        <v>66</v>
      </c>
      <c r="E34" s="3" t="s">
        <v>84</v>
      </c>
      <c r="F34" s="3" t="s">
        <v>29</v>
      </c>
      <c r="G34" s="3" t="s">
        <v>97</v>
      </c>
      <c r="H34" s="3">
        <v>3</v>
      </c>
      <c r="I34" s="3">
        <v>1500</v>
      </c>
      <c r="J34" s="3" t="s">
        <v>103</v>
      </c>
      <c r="K34" s="3">
        <f t="shared" si="1"/>
        <v>4500</v>
      </c>
    </row>
    <row r="35" spans="1:11" x14ac:dyDescent="0.3">
      <c r="A35" s="3">
        <v>34</v>
      </c>
      <c r="B35" s="4">
        <v>45325</v>
      </c>
      <c r="C35" s="4" t="str">
        <f t="shared" si="0"/>
        <v>Feb</v>
      </c>
      <c r="D35" s="3" t="s">
        <v>67</v>
      </c>
      <c r="E35" s="3" t="s">
        <v>85</v>
      </c>
      <c r="F35" s="3" t="s">
        <v>28</v>
      </c>
      <c r="G35" s="3" t="s">
        <v>98</v>
      </c>
      <c r="H35" s="3">
        <v>5</v>
      </c>
      <c r="I35" s="3">
        <v>50</v>
      </c>
      <c r="J35" s="3" t="s">
        <v>101</v>
      </c>
      <c r="K35" s="3">
        <f t="shared" si="1"/>
        <v>250</v>
      </c>
    </row>
    <row r="36" spans="1:11" x14ac:dyDescent="0.3">
      <c r="A36" s="3">
        <v>35</v>
      </c>
      <c r="B36" s="4">
        <v>45326</v>
      </c>
      <c r="C36" s="4" t="str">
        <f t="shared" si="0"/>
        <v>Feb</v>
      </c>
      <c r="D36" s="3" t="s">
        <v>68</v>
      </c>
      <c r="E36" s="3" t="s">
        <v>86</v>
      </c>
      <c r="F36" s="3" t="s">
        <v>30</v>
      </c>
      <c r="G36" s="3" t="s">
        <v>31</v>
      </c>
      <c r="H36" s="3">
        <v>1</v>
      </c>
      <c r="I36" s="3">
        <v>78000</v>
      </c>
      <c r="J36" s="3" t="s">
        <v>100</v>
      </c>
      <c r="K36" s="3">
        <f t="shared" si="1"/>
        <v>78000</v>
      </c>
    </row>
    <row r="37" spans="1:11" x14ac:dyDescent="0.3">
      <c r="A37" s="3">
        <v>36</v>
      </c>
      <c r="B37" s="4">
        <v>45327</v>
      </c>
      <c r="C37" s="4" t="str">
        <f t="shared" si="0"/>
        <v>Feb</v>
      </c>
      <c r="D37" s="3" t="s">
        <v>69</v>
      </c>
      <c r="E37" s="3" t="s">
        <v>87</v>
      </c>
      <c r="F37" s="3" t="s">
        <v>29</v>
      </c>
      <c r="G37" s="3" t="s">
        <v>93</v>
      </c>
      <c r="H37" s="3">
        <v>2</v>
      </c>
      <c r="I37" s="3">
        <v>32000</v>
      </c>
      <c r="J37" s="3" t="s">
        <v>102</v>
      </c>
      <c r="K37" s="3">
        <f t="shared" si="1"/>
        <v>64000</v>
      </c>
    </row>
    <row r="38" spans="1:11" x14ac:dyDescent="0.3">
      <c r="A38" s="3">
        <v>37</v>
      </c>
      <c r="B38" s="4">
        <v>45328</v>
      </c>
      <c r="C38" s="4" t="str">
        <f t="shared" si="0"/>
        <v>Feb</v>
      </c>
      <c r="D38" s="3" t="s">
        <v>70</v>
      </c>
      <c r="E38" s="3" t="s">
        <v>88</v>
      </c>
      <c r="F38" s="3" t="s">
        <v>28</v>
      </c>
      <c r="G38" s="3" t="s">
        <v>94</v>
      </c>
      <c r="H38" s="3">
        <v>3</v>
      </c>
      <c r="I38" s="3">
        <v>550</v>
      </c>
      <c r="J38" s="3" t="s">
        <v>103</v>
      </c>
      <c r="K38" s="3">
        <f t="shared" si="1"/>
        <v>1650</v>
      </c>
    </row>
    <row r="39" spans="1:11" x14ac:dyDescent="0.3">
      <c r="A39" s="3">
        <v>38</v>
      </c>
      <c r="B39" s="4">
        <v>45329</v>
      </c>
      <c r="C39" s="4" t="str">
        <f t="shared" si="0"/>
        <v>Feb</v>
      </c>
      <c r="D39" s="3" t="s">
        <v>71</v>
      </c>
      <c r="E39" s="3" t="s">
        <v>89</v>
      </c>
      <c r="F39" s="3" t="s">
        <v>30</v>
      </c>
      <c r="G39" s="3" t="s">
        <v>95</v>
      </c>
      <c r="H39" s="3">
        <v>4</v>
      </c>
      <c r="I39" s="3">
        <v>65</v>
      </c>
      <c r="J39" s="3" t="s">
        <v>101</v>
      </c>
      <c r="K39" s="3">
        <f t="shared" si="1"/>
        <v>260</v>
      </c>
    </row>
    <row r="40" spans="1:11" x14ac:dyDescent="0.3">
      <c r="A40" s="3">
        <v>39</v>
      </c>
      <c r="B40" s="4">
        <v>45330</v>
      </c>
      <c r="C40" s="4" t="str">
        <f t="shared" si="0"/>
        <v>Feb</v>
      </c>
      <c r="D40" s="3" t="s">
        <v>72</v>
      </c>
      <c r="E40" s="3" t="s">
        <v>90</v>
      </c>
      <c r="F40" s="3" t="s">
        <v>29</v>
      </c>
      <c r="G40" s="3" t="s">
        <v>96</v>
      </c>
      <c r="H40" s="3">
        <v>2</v>
      </c>
      <c r="I40" s="3">
        <v>2700</v>
      </c>
      <c r="J40" s="3" t="s">
        <v>100</v>
      </c>
      <c r="K40" s="3">
        <f t="shared" si="1"/>
        <v>5400</v>
      </c>
    </row>
    <row r="41" spans="1:11" x14ac:dyDescent="0.3">
      <c r="A41" s="3">
        <v>40</v>
      </c>
      <c r="B41" s="4">
        <v>45331</v>
      </c>
      <c r="C41" s="4" t="str">
        <f t="shared" si="0"/>
        <v>Feb</v>
      </c>
      <c r="D41" s="3" t="s">
        <v>73</v>
      </c>
      <c r="E41" s="3" t="s">
        <v>91</v>
      </c>
      <c r="F41" s="3" t="s">
        <v>28</v>
      </c>
      <c r="G41" s="3" t="s">
        <v>97</v>
      </c>
      <c r="H41" s="3">
        <v>3</v>
      </c>
      <c r="I41" s="3">
        <v>1400</v>
      </c>
      <c r="J41" s="3" t="s">
        <v>102</v>
      </c>
      <c r="K41" s="3">
        <f t="shared" si="1"/>
        <v>4200</v>
      </c>
    </row>
    <row r="42" spans="1:11" x14ac:dyDescent="0.3">
      <c r="A42" s="3">
        <v>41</v>
      </c>
      <c r="B42" s="4">
        <v>45332</v>
      </c>
      <c r="C42" s="4" t="str">
        <f t="shared" si="0"/>
        <v>Feb</v>
      </c>
      <c r="D42" s="3" t="s">
        <v>74</v>
      </c>
      <c r="E42" s="3" t="s">
        <v>92</v>
      </c>
      <c r="F42" s="3" t="s">
        <v>30</v>
      </c>
      <c r="G42" s="3" t="s">
        <v>99</v>
      </c>
      <c r="H42" s="3">
        <v>6</v>
      </c>
      <c r="I42" s="3">
        <v>40</v>
      </c>
      <c r="J42" s="3" t="s">
        <v>103</v>
      </c>
      <c r="K42" s="3">
        <f t="shared" si="1"/>
        <v>240</v>
      </c>
    </row>
    <row r="43" spans="1:11" x14ac:dyDescent="0.3">
      <c r="A43" s="10"/>
      <c r="K43" s="7">
        <f>SUM(K2:K42)</f>
        <v>908250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total revenue</vt:lpstr>
      <vt:lpstr>geographical revenues</vt:lpstr>
      <vt:lpstr>products revenues</vt:lpstr>
      <vt:lpstr>Customer Value Analysis </vt:lpstr>
      <vt:lpstr>Dashboard</vt:lpstr>
      <vt:lpstr>Month to Month _Revenue</vt:lpstr>
      <vt:lpstr>loyal customers 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Bhavana Reddymachu</dc:creator>
  <cp:lastModifiedBy>Bhavana Reddymachu</cp:lastModifiedBy>
  <dcterms:created xsi:type="dcterms:W3CDTF">2026-03-04T10:14:42Z</dcterms:created>
  <dcterms:modified xsi:type="dcterms:W3CDTF">2026-03-13T04:24:40Z</dcterms:modified>
</cp:coreProperties>
</file>